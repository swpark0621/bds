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0282190f9f49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5b360b0d58784b38"/>
    <x:sheet xmlns:r="http://schemas.openxmlformats.org/officeDocument/2006/relationships" name="실거래_최신20" sheetId="2" r:id="R3d1d234a44644ebb"/>
    <x:sheet xmlns:r="http://schemas.openxmlformats.org/officeDocument/2006/relationships" name="현호가_보조" sheetId="3" r:id="Ra7c1b72d8cf44bd6"/>
    <x:sheet xmlns:r="http://schemas.openxmlformats.org/officeDocument/2006/relationships" name="현호가_원자료" sheetId="4" r:id="Raab52fd0d30c4153"/>
    <x:sheet xmlns:r="http://schemas.openxmlformats.org/officeDocument/2006/relationships" name="네이버_확인이력" sheetId="5" r:id="Rfca42cf413834564"/>
    <x:sheet xmlns:r="http://schemas.openxmlformats.org/officeDocument/2006/relationships" name="출처_방법" sheetId="6" r:id="R84479763480546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.0"/>
    <x:numFmt numFmtId="202" formatCode="yyyy-mm-dd"/>
    <x:numFmt numFmtId="203" formatCode="#,##0.00"/>
    <x:numFmt numFmtId="204" formatCode="0.00x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4495E"/>
      <x:name val="Carlito"/>
    </x:font>
    <x:font>
      <x:b/>
      <x:sz val="11"/>
      <x:color rgb="FFFFFFFF"/>
      <x:name val="Carlito"/>
    </x:font>
    <x:font>
      <x:b/>
      <x:sz val="11"/>
      <x:color rgb="FF183047"/>
      <x:name val="Carlito"/>
    </x:font>
    <x:font>
      <x:sz val="11"/>
      <x:color rgb="FF008000"/>
      <x:name val="Carlito"/>
    </x:font>
    <x:font>
      <x:b/>
      <x:sz val="11"/>
      <x:color rgb="FF7A4F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0F5"/>
      </x:patternFill>
    </x:fill>
    <x:fill>
      <x:patternFill patternType="solid">
        <x:fgColor rgb="FF2F6B5F"/>
      </x:patternFill>
    </x:fill>
    <x:fill>
      <x:patternFill patternType="solid">
        <x:fgColor rgb="FFDCE7EE"/>
      </x:patternFill>
    </x:fill>
    <x:fill>
      <x:patternFill patternType="solid">
        <x:fgColor rgb="FFFFF4CC"/>
      </x:patternFill>
    </x:fill>
  </x:fills>
  <x:borders count="17">
    <x:border/>
    <x:border>
      <x:left style="thin">
        <x:color rgb="FFC9D5DE"/>
      </x:left>
      <x:right style="thin">
        <x:color rgb="FFC9D5DE"/>
      </x:right>
      <x:top style="thin">
        <x:color rgb="FFC9D5DE"/>
      </x:top>
      <x:bottom style="thin">
        <x:color rgb="FFC9D5DE"/>
      </x:bottom>
    </x:border>
    <x:border>
      <x:left style="thin">
        <x:color rgb="FFC9D5DE"/>
      </x:left>
    </x:border>
    <x:border>
      <x:right style="thin">
        <x:color rgb="FFC9D5DE"/>
      </x:right>
    </x:border>
    <x:border>
      <x:left style="thin">
        <x:color rgb="FFC9D5DE"/>
      </x:left>
      <x:bottom style="thin">
        <x:color rgb="FFC9D5DE"/>
      </x:bottom>
    </x:border>
    <x:border>
      <x:bottom style="thin">
        <x:color rgb="FFC9D5DE"/>
      </x:bottom>
    </x:border>
    <x:border>
      <x:right style="thin">
        <x:color rgb="FFC9D5DE"/>
      </x:right>
      <x:bottom style="thin">
        <x:color rgb="FFC9D5DE"/>
      </x:bottom>
    </x:border>
    <x:border>
      <x:left style="thin">
        <x:color rgb="FFC9D5DE"/>
      </x:left>
      <x:right style="thin">
        <x:color rgb="FFE2E8ED"/>
      </x:right>
      <x:bottom style="thin">
        <x:color rgb="FFE2E8ED"/>
      </x:bottom>
    </x:border>
    <x:border>
      <x:left style="thin">
        <x:color rgb="FFE2E8ED"/>
      </x:left>
      <x:right style="thin">
        <x:color rgb="FFE2E8ED"/>
      </x:right>
      <x:bottom style="thin">
        <x:color rgb="FFE2E8ED"/>
      </x:bottom>
    </x:border>
    <x:border>
      <x:left style="thin">
        <x:color rgb="FFE2E8ED"/>
      </x:left>
      <x:bottom style="thin">
        <x:color rgb="FFE2E8ED"/>
      </x:bottom>
    </x:border>
    <x:border>
      <x:left style="thin">
        <x:color rgb="FFC9D5DE"/>
      </x:left>
      <x:right style="thin">
        <x:color rgb="FFE2E8ED"/>
      </x:right>
      <x:top style="thin">
        <x:color rgb="FFE2E8ED"/>
      </x:top>
    </x:border>
    <x:border>
      <x:left style="thin">
        <x:color rgb="FFE2E8ED"/>
      </x:left>
      <x:right style="thin">
        <x:color rgb="FFE2E8ED"/>
      </x:right>
      <x:top style="thin">
        <x:color rgb="FFE2E8ED"/>
      </x:top>
    </x:border>
    <x:border>
      <x:left style="thin">
        <x:color rgb="FFE2E8ED"/>
      </x:left>
      <x:top style="thin">
        <x:color rgb="FFE2E8ED"/>
      </x:top>
    </x:border>
    <x:border>
      <x:left style="thin">
        <x:color rgb="FFD4DDE4"/>
      </x:left>
      <x:right style="thin">
        <x:color rgb="FFD4DDE4"/>
      </x:right>
      <x:top style="thin">
        <x:color rgb="FFD4DDE4"/>
      </x:top>
      <x:bottom style="thin">
        <x:color rgb="FFD4DDE4"/>
      </x:bottom>
    </x:border>
    <x:border>
      <x:left style="thin">
        <x:color rgb="FFC9D5DE"/>
      </x:left>
      <x:right style="thin">
        <x:color rgb="FFE2E8ED"/>
      </x:right>
      <x:top style="thin">
        <x:color rgb="FFE2E8ED"/>
      </x:top>
      <x:bottom style="thin">
        <x:color rgb="FFE2E8ED"/>
      </x:bottom>
    </x:border>
    <x:border>
      <x:left style="thin">
        <x:color rgb="FFE2E8ED"/>
      </x:left>
      <x:right style="thin">
        <x:color rgb="FFE2E8ED"/>
      </x:right>
      <x:top style="thin">
        <x:color rgb="FFE2E8ED"/>
      </x:top>
      <x:bottom style="thin">
        <x:color rgb="FFE2E8ED"/>
      </x:bottom>
    </x:border>
    <x:border>
      <x:left style="thin">
        <x:color rgb="FFE2E8ED"/>
      </x:left>
      <x:top style="thin">
        <x:color rgb="FFE2E8ED"/>
      </x:top>
      <x:bottom style="thin">
        <x:color rgb="FFE2E8ED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0" fontId="0" fillId="0" borderId="13" xfId="0" applyNumberFormat="1" applyFont="1" applyFill="1" applyBorder="1"/>
    <x:xf numFmtId="0" fontId="0" fillId="5" borderId="13" xfId="0" applyNumberFormat="1" applyFont="1" applyFill="1" applyBorder="1"/>
    <x:xf numFmtId="0" fontId="4" fillId="5" borderId="13" xfId="0" applyNumberFormat="1" applyFont="1" applyFill="1" applyBorder="1"/>
    <x:xf numFmtId="0" fontId="4" fillId="5" borderId="13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0" fillId="6" borderId="13" xfId="0" applyNumberFormat="1" applyFont="1" applyFill="1" applyBorder="1"/>
    <x:xf numFmtId="0" fontId="6" fillId="6" borderId="13" xfId="0" applyNumberFormat="1" applyFont="1" applyFill="1" applyBorder="1"/>
    <x:xf numFmtId="0" fontId="6" fillId="6" borderId="13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0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2" fontId="0" fillId="0" borderId="15" xfId="0" applyNumberFormat="1" applyFont="1" applyFill="1" applyBorder="1" applyAlignment="1">
      <x:alignment wrapText="1"/>
    </x:xf>
    <x:xf numFmtId="202" fontId="0" fillId="0" borderId="11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15" xfId="0" applyNumberFormat="1" applyFont="1" applyFill="1" applyBorder="1" applyAlignment="1">
      <x:alignment wrapText="1"/>
    </x:xf>
    <x:xf numFmtId="203" fontId="0" fillId="0" borderId="11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  <x:xf numFmtId="204" fontId="0" fillId="0" borderId="8" xfId="0" applyNumberFormat="1" applyFont="1" applyFill="1" applyBorder="1" applyAlignment="1">
      <x:alignment wrapText="1"/>
    </x:xf>
    <x:xf numFmtId="204" fontId="0" fillId="0" borderId="15" xfId="0" applyNumberFormat="1" applyFont="1" applyFill="1" applyBorder="1" applyAlignment="1">
      <x:alignment wrapText="1"/>
    </x:xf>
    <x:xf numFmtId="204" fontId="0" fillId="0" borderId="11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e6c91242884c89" /><Relationship Type="http://schemas.openxmlformats.org/officeDocument/2006/relationships/theme" Target="/xl/theme/theme1.xml" Id="R5f007cf5e8ea4ac2" /><Relationship Type="http://schemas.openxmlformats.org/officeDocument/2006/relationships/sharedStrings" Target="/xl/sharedStrings.xml" Id="R017fff89671f49fd" /><Relationship Type="http://schemas.openxmlformats.org/officeDocument/2006/relationships/worksheet" Target="/xl/worksheets/sheet1.xml" Id="R5b360b0d58784b38" /><Relationship Type="http://schemas.openxmlformats.org/officeDocument/2006/relationships/worksheet" Target="/xl/worksheets/sheet2.xml" Id="R3d1d234a44644ebb" /><Relationship Type="http://schemas.openxmlformats.org/officeDocument/2006/relationships/worksheet" Target="/xl/worksheets/sheet3.xml" Id="Ra7c1b72d8cf44bd6" /><Relationship Type="http://schemas.openxmlformats.org/officeDocument/2006/relationships/worksheet" Target="/xl/worksheets/sheet4.xml" Id="Raab52fd0d30c4153" /><Relationship Type="http://schemas.openxmlformats.org/officeDocument/2006/relationships/worksheet" Target="/xl/worksheets/sheet5.xml" Id="Rfca42cf413834564" /><Relationship Type="http://schemas.openxmlformats.org/officeDocument/2006/relationships/worksheet" Target="/xl/worksheets/sheet6.xml" Id="R84479763480546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30" hidden="0" customWidth="1"/>
    <x:col min="4" max="4" width="14" hidden="0" customWidth="1"/>
    <x:col min="5" max="5" width="16" hidden="0" customWidth="1"/>
    <x:col min="6" max="6" width="17" hidden="0" customWidth="1"/>
    <x:col min="7" max="7" width="17" hidden="0" customWidth="1"/>
    <x:col min="8" max="8" width="14" hidden="0" customWidth="1"/>
    <x:col min="9" max="9" width="14" hidden="0" customWidth="1"/>
    <x:col min="10" max="10" width="28" hidden="0" customWidth="1"/>
  </x:cols>
  <x:sheetData>
    <x:row r="1" ht="30" customHeight="1">
      <x:c r="A1" s="4" t="str">
        <x:v>성남 신흥1·신흥3 재개발 | 실거래·호가 비교</x:v>
      </x:c>
      <x:c r="B1" s="4" t="str">
        <x:v>성남 신흥1·신흥3 재개발 | 실거래·호가 비교</x:v>
      </x:c>
      <x:c r="C1" s="4" t="str">
        <x:v>성남 신흥1·신흥3 재개발 | 실거래·호가 비교</x:v>
      </x:c>
      <x:c r="D1" s="4" t="str">
        <x:v>성남 신흥1·신흥3 재개발 | 실거래·호가 비교</x:v>
      </x:c>
      <x:c r="E1" s="4" t="str">
        <x:v>성남 신흥1·신흥3 재개발 | 실거래·호가 비교</x:v>
      </x:c>
      <x:c r="F1" s="4" t="str">
        <x:v>성남 신흥1·신흥3 재개발 | 실거래·호가 비교</x:v>
      </x:c>
      <x:c r="G1" s="4" t="str">
        <x:v>성남 신흥1·신흥3 재개발 | 실거래·호가 비교</x:v>
      </x:c>
      <x:c r="H1" s="4" t="str">
        <x:v>성남 신흥1·신흥3 재개발 | 실거래·호가 비교</x:v>
      </x:c>
      <x:c r="I1" s="4" t="str">
        <x:v>성남 신흥1·신흥3 재개발 | 실거래·호가 비교</x:v>
      </x:c>
      <x:c r="J1" s="4" t="str">
        <x:v>성남 신흥1·신흥3 재개발 | 실거래·호가 비교</x:v>
      </x:c>
    </x:row>
    <x:row r="2" ht="34" customHeight="1">
      <x:c r="A2" s="8" t="str">
        <x:v>기준일 2026-09-02. 실거래는 공개 재개발 플랫폼의 최근 신고 표본(구역별 20건)을 정리한 것이며, 계약 전 국토교통부 실거래가 공개시스템 원문으로 재확인해야 합니다.</x:v>
      </x:c>
      <x:c r="B2" s="8" t="str">
        <x:v>기준일 2026-09-02. 실거래는 공개 재개발 플랫폼의 최근 신고 표본(구역별 20건)을 정리한 것이며, 계약 전 국토교통부 실거래가 공개시스템 원문으로 재확인해야 합니다.</x:v>
      </x:c>
      <x:c r="C2" s="8" t="str">
        <x:v>기준일 2026-09-02. 실거래는 공개 재개발 플랫폼의 최근 신고 표본(구역별 20건)을 정리한 것이며, 계약 전 국토교통부 실거래가 공개시스템 원문으로 재확인해야 합니다.</x:v>
      </x:c>
      <x:c r="D2" s="8" t="str">
        <x:v>기준일 2026-09-02. 실거래는 공개 재개발 플랫폼의 최근 신고 표본(구역별 20건)을 정리한 것이며, 계약 전 국토교통부 실거래가 공개시스템 원문으로 재확인해야 합니다.</x:v>
      </x:c>
      <x:c r="E2" s="8" t="str">
        <x:v>기준일 2026-09-02. 실거래는 공개 재개발 플랫폼의 최근 신고 표본(구역별 20건)을 정리한 것이며, 계약 전 국토교통부 실거래가 공개시스템 원문으로 재확인해야 합니다.</x:v>
      </x:c>
      <x:c r="F2" s="8" t="str">
        <x:v>기준일 2026-09-02. 실거래는 공개 재개발 플랫폼의 최근 신고 표본(구역별 20건)을 정리한 것이며, 계약 전 국토교통부 실거래가 공개시스템 원문으로 재확인해야 합니다.</x:v>
      </x:c>
      <x:c r="G2" s="8" t="str">
        <x:v>기준일 2026-09-02. 실거래는 공개 재개발 플랫폼의 최근 신고 표본(구역별 20건)을 정리한 것이며, 계약 전 국토교통부 실거래가 공개시스템 원문으로 재확인해야 합니다.</x:v>
      </x:c>
      <x:c r="H2" s="8" t="str">
        <x:v>기준일 2026-09-02. 실거래는 공개 재개발 플랫폼의 최근 신고 표본(구역별 20건)을 정리한 것이며, 계약 전 국토교통부 실거래가 공개시스템 원문으로 재확인해야 합니다.</x:v>
      </x:c>
      <x:c r="I2" s="8" t="str">
        <x:v>기준일 2026-09-02. 실거래는 공개 재개발 플랫폼의 최근 신고 표본(구역별 20건)을 정리한 것이며, 계약 전 국토교통부 실거래가 공개시스템 원문으로 재확인해야 합니다.</x:v>
      </x:c>
      <x:c r="J2" s="8" t="str">
        <x:v>기준일 2026-09-02. 실거래는 공개 재개발 플랫폼의 최근 신고 표본(구역별 20건)을 정리한 것이며, 계약 전 국토교통부 실거래가 공개시스템 원문으로 재확인해야 합니다.</x:v>
      </x:c>
    </x:row>
    <x:row r="4" ht="22" customHeight="1">
      <x:c r="A4" s="11" t="str">
        <x:v>1. 구역별 비교</x:v>
      </x:c>
      <x:c r="B4" s="11" t="str">
        <x:v>1. 구역별 비교</x:v>
      </x:c>
      <x:c r="C4" s="11" t="str">
        <x:v>1. 구역별 비교</x:v>
      </x:c>
      <x:c r="D4" s="11" t="str">
        <x:v>1. 구역별 비교</x:v>
      </x:c>
      <x:c r="E4" s="11" t="str">
        <x:v>1. 구역별 비교</x:v>
      </x:c>
      <x:c r="F4" s="11" t="str">
        <x:v>1. 구역별 비교</x:v>
      </x:c>
      <x:c r="G4" s="11" t="str">
        <x:v>1. 구역별 비교</x:v>
      </x:c>
      <x:c r="H4" s="11" t="str">
        <x:v>1. 구역별 비교</x:v>
      </x:c>
      <x:c r="I4" s="11" t="str">
        <x:v>1. 구역별 비교</x:v>
      </x:c>
      <x:c r="J4" s="11" t="str">
        <x:v>1. 구역별 비교</x:v>
      </x:c>
    </x:row>
    <x:row r="5" ht="30" customHeight="1">
      <x:c r="A5" s="17" t="str">
        <x:v>구역</x:v>
      </x:c>
      <x:c r="B5" s="17" t="str">
        <x:v>법정 단계</x:v>
      </x:c>
      <x:c r="C5" s="17" t="str">
        <x:v>표본 기간</x:v>
      </x:c>
      <x:c r="D5" s="17" t="str">
        <x:v>실거래 표본</x:v>
      </x:c>
      <x:c r="E5" s="17" t="str">
        <x:v>거래가 중앙값
(억원)</x:v>
      </x:c>
      <x:c r="F5" s="17" t="str">
        <x:v>대지평당가 중앙값
(만원/평)</x:v>
      </x:c>
      <x:c r="G5" s="17" t="str">
        <x:v>대지평당가 평균
(만원/평)</x:v>
      </x:c>
      <x:c r="H5" s="17" t="str">
        <x:v>현 호가 수
(보조)</x:v>
      </x:c>
      <x:c r="I5" s="17" t="str">
        <x:v>현 호가 최저
(억원)</x:v>
      </x:c>
      <x:c r="J5" s="17" t="str">
        <x:v>판독</x:v>
      </x:c>
    </x:row>
    <x:row r="6">
      <x:c r="A6" s="24" t="str">
        <x:v>신흥1구역</x:v>
      </x:c>
      <x:c r="B6" s="25" t="str">
        <x:v>사업시행계획인가</x:v>
      </x:c>
      <x:c r="C6" s="25" t="str">
        <x:v>2026-07-10 ~ 2026-08-16</x:v>
      </x:c>
      <x:c r="D6" s="30" t="n">
        <x:f>COUNT('실거래_최신20'!$I$6:$I$25)</x:f>
        <x:v>20</x:v>
      </x:c>
      <x:c r="E6" s="32" t="n">
        <x:f>MEDIAN('실거래_최신20'!$J$6:$J$25)</x:f>
        <x:v>9.55</x:v>
      </x:c>
      <x:c r="F6" s="32" t="n">
        <x:f>MEDIAN('실거래_최신20'!$M$6:$M$25)</x:f>
        <x:v>4796.674702923977</x:v>
      </x:c>
      <x:c r="G6" s="32" t="n">
        <x:f>AVERAGE('실거래_최신20'!$M$6:$M$25)</x:f>
        <x:v>4984.476188242395</x:v>
      </x:c>
      <x:c r="H6" s="32" t="n">
        <x:f>COUNT('현호가_원자료'!$D$6:$D$82)</x:f>
        <x:v>77</x:v>
      </x:c>
      <x:c r="I6" s="32" t="n">
        <x:f>MIN('현호가_원자료'!$E$6:$E$82)</x:f>
        <x:v>8</x:v>
      </x:c>
      <x:c r="J6" s="26" t="str">
        <x:v>단계 우세. 다만 관리처분·이주 변수 남음.</x:v>
      </x:c>
    </x:row>
    <x:row r="7">
      <x:c r="A7" s="27" t="str">
        <x:v>신흥3구역</x:v>
      </x:c>
      <x:c r="B7" s="28" t="str">
        <x:v>주민대표회의 구성
(사업시행인가 전)</x:v>
      </x:c>
      <x:c r="C7" s="28" t="str">
        <x:v>2026-05-21 ~ 2026-08-08</x:v>
      </x:c>
      <x:c r="D7" s="31" t="n">
        <x:f>COUNT('실거래_최신20'!$I$26:$I$45)</x:f>
        <x:v>20</x:v>
      </x:c>
      <x:c r="E7" s="33" t="n">
        <x:f>MEDIAN('실거래_최신20'!$J$26:$J$45)</x:f>
        <x:v>9.025</x:v>
      </x:c>
      <x:c r="F7" s="33" t="n">
        <x:f>MEDIAN('실거래_최신20'!$M$26:$M$45)</x:f>
        <x:v>4480.137854493396</x:v>
      </x:c>
      <x:c r="G7" s="33" t="n">
        <x:f>AVERAGE('실거래_최신20'!$M$26:$M$45)</x:f>
        <x:v>4896.776829619483</x:v>
      </x:c>
      <x:c r="H7" s="33" t="n">
        <x:f>COUNT('현호가_원자료'!$D$83:$D$102)</x:f>
        <x:v>20</x:v>
      </x:c>
      <x:c r="I7" s="33" t="n">
        <x:f>MIN('현호가_원자료'!$E$83:$E$102)</x:f>
        <x:v>4.9</x:v>
      </x:c>
      <x:c r="J7" s="29" t="str">
        <x:v>시공자 선정과 법정 인가 단계는 별개.</x:v>
      </x:c>
    </x:row>
    <x:row r="10" ht="22" customHeight="1">
      <x:c r="A10" s="11" t="str">
        <x:v>2. 프리미엄 해석</x:v>
      </x:c>
      <x:c r="B10" s="11" t="str">
        <x:v>2. 프리미엄 해석</x:v>
      </x:c>
      <x:c r="C10" s="11" t="str">
        <x:v>2. 프리미엄 해석</x:v>
      </x:c>
      <x:c r="D10" s="11" t="str">
        <x:v>2. 프리미엄 해석</x:v>
      </x:c>
      <x:c r="E10" s="11" t="str">
        <x:v>2. 프리미엄 해석</x:v>
      </x:c>
      <x:c r="F10" s="11" t="str">
        <x:v>2. 프리미엄 해석</x:v>
      </x:c>
      <x:c r="G10" s="11" t="str">
        <x:v>2. 프리미엄 해석</x:v>
      </x:c>
      <x:c r="H10" s="11" t="str">
        <x:v>2. 프리미엄 해석</x:v>
      </x:c>
      <x:c r="I10" s="11" t="str">
        <x:v>2. 프리미엄 해석</x:v>
      </x:c>
      <x:c r="J10" s="11" t="str">
        <x:v>2. 프리미엄 해석</x:v>
      </x:c>
    </x:row>
    <x:row r="11" ht="42" customHeight="1">
      <x:c r="A11" s="37" t="str">
        <x:v>항목</x:v>
      </x:c>
      <x:c r="B11" s="37" t="str">
        <x:v>엑셀 표시</x:v>
      </x:c>
      <x:c r="C11" s="37" t="str">
        <x:v>산식</x:v>
      </x:c>
      <x:c r="D11" s="37" t="str">
        <x:v>투자 판단에서의 위치</x:v>
      </x:c>
      <x:c r="E11" s="37"/>
      <x:c r="F11" s="37" t="str">
        <x:v>주의</x:v>
      </x:c>
      <x:c r="G11" s="37"/>
      <x:c r="H11" s="37"/>
      <x:c r="I11" s="37"/>
      <x:c r="J11" s="37"/>
    </x:row>
    <x:row r="12" ht="42" customHeight="1">
      <x:c r="A12" s="38" t="str">
        <x:v>대지평당 거래가</x:v>
      </x:c>
      <x:c r="B12" s="38" t="str">
        <x:v>실거래_최신20</x:v>
      </x:c>
      <x:c r="C12" s="39" t="str">
        <x:v>실거래가 ÷ (대지면적㎡ ÷ 3.305785)</x:v>
      </x:c>
      <x:c r="D12" s="38" t="str">
        <x:v>같은 주택 유형·대지지분 비교의 출발점</x:v>
      </x:c>
      <x:c r="E12" s="38"/>
      <x:c r="F12" s="38" t="str">
        <x:v>단독/다가구와 다세대는 대지권 구조가 달라 분리 비교</x:v>
      </x:c>
      <x:c r="G12" s="38"/>
      <x:c r="H12" s="38"/>
      <x:c r="I12" s="38"/>
      <x:c r="J12" s="38"/>
    </x:row>
    <x:row r="13" ht="42" customHeight="1">
      <x:c r="A13" s="38" t="str">
        <x:v>공시가격 차액</x:v>
      </x:c>
      <x:c r="B13" s="38" t="str">
        <x:v>실거래_최신20</x:v>
      </x:c>
      <x:c r="C13" s="39" t="str">
        <x:v>실거래가 - 공시가격</x:v>
      </x:c>
      <x:c r="D13" s="38" t="str">
        <x:v>가격 수준 참고</x:v>
      </x:c>
      <x:c r="E13" s="38"/>
      <x:c r="F13" s="38" t="str">
        <x:v>재개발 프리미엄이 아님</x:v>
      </x:c>
      <x:c r="G13" s="38"/>
      <x:c r="H13" s="38"/>
      <x:c r="I13" s="38"/>
      <x:c r="J13" s="38"/>
    </x:row>
    <x:row r="14" ht="42" customHeight="1">
      <x:c r="A14" s="38" t="str">
        <x:v>실제 재개발 프리미엄</x:v>
      </x:c>
      <x:c r="B14" s="38" t="str">
        <x:v>확인 불가</x:v>
      </x:c>
      <x:c r="C14" s="39" t="str">
        <x:v>매매가 - 종전자산 감정평가액 또는 권리가액</x:v>
      </x:c>
      <x:c r="D14" s="38" t="str">
        <x:v>추가분담금·예상 분양가 산정의 출발점</x:v>
      </x:c>
      <x:c r="E14" s="38"/>
      <x:c r="F14" s="38" t="str">
        <x:v>개별 물건의 감정평가/권리가액 없이는 산출 금지</x:v>
      </x:c>
      <x:c r="G14" s="38"/>
      <x:c r="H14" s="38"/>
      <x:c r="I14" s="38"/>
      <x:c r="J14" s="38"/>
    </x:row>
    <x:row r="15" ht="42" customHeight="1">
      <x:c r="A15" s="38" t="str">
        <x:v>현 호가</x:v>
      </x:c>
      <x:c r="B15" s="38" t="str">
        <x:v>현호가_보조</x:v>
      </x:c>
      <x:c r="C15" s="39" t="str">
        <x:v>공개 호가 가격</x:v>
      </x:c>
      <x:c r="D15" s="38" t="str">
        <x:v>거래 성사 가능 범위 참고</x:v>
      </x:c>
      <x:c r="E15" s="38"/>
      <x:c r="F15" s="38" t="str">
        <x:v>네이버 현행 개별 매물의 구역별 대지지분을 일괄 추출할 수 없어 대지평당 호가 비교는 제외</x:v>
      </x:c>
      <x:c r="G15" s="38"/>
      <x:c r="H15" s="38"/>
      <x:c r="I15" s="38"/>
      <x:c r="J15" s="38"/>
    </x:row>
    <x:row r="18" ht="22" customHeight="1">
      <x:c r="A18" s="11" t="str">
        <x:v>3. 사용 전 확인</x:v>
      </x:c>
      <x:c r="B18" s="11" t="str">
        <x:v>3. 사용 전 확인</x:v>
      </x:c>
      <x:c r="C18" s="11" t="str">
        <x:v>3. 사용 전 확인</x:v>
      </x:c>
      <x:c r="D18" s="11" t="str">
        <x:v>3. 사용 전 확인</x:v>
      </x:c>
      <x:c r="E18" s="11" t="str">
        <x:v>3. 사용 전 확인</x:v>
      </x:c>
      <x:c r="F18" s="11" t="str">
        <x:v>3. 사용 전 확인</x:v>
      </x:c>
      <x:c r="G18" s="11" t="str">
        <x:v>3. 사용 전 확인</x:v>
      </x:c>
      <x:c r="H18" s="11" t="str">
        <x:v>3. 사용 전 확인</x:v>
      </x:c>
      <x:c r="I18" s="11" t="str">
        <x:v>3. 사용 전 확인</x:v>
      </x:c>
      <x:c r="J18" s="11" t="str">
        <x:v>3. 사용 전 확인</x:v>
      </x:c>
    </x:row>
    <x:row r="19">
      <x:c r="A19" s="36" t="str">
        <x:v>체크</x:v>
      </x:c>
      <x:c r="B19" s="36" t="str">
        <x:v>상태</x:v>
      </x:c>
      <x:c r="C19" s="37" t="str">
        <x:v>설명</x:v>
      </x:c>
      <x:c r="D19" s="37"/>
      <x:c r="E19" s="37"/>
      <x:c r="F19" s="37"/>
      <x:c r="G19" s="37"/>
      <x:c r="H19" s="37"/>
      <x:c r="I19" s="37"/>
      <x:c r="J19" s="37"/>
    </x:row>
    <x:row r="20" ht="34" customHeight="1">
      <x:c r="A20" s="34" t="str">
        <x:v>정비구역 편입</x:v>
      </x:c>
      <x:c r="B20" s="42" t="str">
        <x:v>필수</x:v>
      </x:c>
      <x:c r="C20" s="38" t="str">
        <x:v>후보 지번을 정비계획 도면·토지이음으로 대조</x:v>
      </x:c>
      <x:c r="D20" s="38"/>
      <x:c r="E20" s="38"/>
      <x:c r="F20" s="38"/>
      <x:c r="G20" s="38"/>
      <x:c r="H20" s="38"/>
      <x:c r="I20" s="38"/>
      <x:c r="J20" s="38"/>
    </x:row>
    <x:row r="21" ht="34" customHeight="1">
      <x:c r="A21" s="34" t="str">
        <x:v>분양자격</x:v>
      </x:c>
      <x:c r="B21" s="42" t="str">
        <x:v>필수</x:v>
      </x:c>
      <x:c r="C21" s="38" t="str">
        <x:v>소유권 취득일·공유지분·다물권·권리산정기준일 확인</x:v>
      </x:c>
      <x:c r="D21" s="38"/>
      <x:c r="E21" s="38"/>
      <x:c r="F21" s="38"/>
      <x:c r="G21" s="38"/>
      <x:c r="H21" s="38"/>
      <x:c r="I21" s="38"/>
      <x:c r="J21" s="38"/>
    </x:row>
    <x:row r="22" ht="34" customHeight="1">
      <x:c r="A22" s="34" t="str">
        <x:v>실제 재개발 P</x:v>
      </x:c>
      <x:c r="B22" s="42" t="str">
        <x:v>필수</x:v>
      </x:c>
      <x:c r="C22" s="38" t="str">
        <x:v>종전자산 감정평가·권리가액·추정 분담금 자료가 있는 동일 물건으로 산정</x:v>
      </x:c>
      <x:c r="D22" s="38"/>
      <x:c r="E22" s="38"/>
      <x:c r="F22" s="38"/>
      <x:c r="G22" s="38"/>
      <x:c r="H22" s="38"/>
      <x:c r="I22" s="38"/>
      <x:c r="J22" s="38"/>
    </x:row>
    <x:row r="23" ht="34" customHeight="1">
      <x:c r="A23" s="34" t="str">
        <x:v>실거래 확정</x:v>
      </x:c>
      <x:c r="B23" s="42" t="str">
        <x:v>필수</x:v>
      </x:c>
      <x:c r="C23" s="38" t="str">
        <x:v>계약 전 국토교통부 실거래가 공개시스템에서 계약일·취소 여부·주소 재확인</x:v>
      </x:c>
      <x:c r="D23" s="38"/>
      <x:c r="E23" s="38"/>
      <x:c r="F23" s="38"/>
      <x:c r="G23" s="38"/>
      <x:c r="H23" s="38"/>
      <x:c r="I23" s="38"/>
      <x:c r="J23" s="38"/>
    </x:row>
  </x:sheetData>
  <x:mergeCells>
    <x:mergeCell ref="A1:J1"/>
    <x:mergeCell ref="A2:J2"/>
    <x:mergeCell ref="A4:J4"/>
    <x:mergeCell ref="A10:J10"/>
    <x:mergeCell ref="D11:E11"/>
    <x:mergeCell ref="F11:J11"/>
    <x:mergeCell ref="D12:E12"/>
    <x:mergeCell ref="F12:J12"/>
    <x:mergeCell ref="D13:E13"/>
    <x:mergeCell ref="F13:J13"/>
    <x:mergeCell ref="D14:E14"/>
    <x:mergeCell ref="F14:J14"/>
    <x:mergeCell ref="D15:E15"/>
    <x:mergeCell ref="F15:J15"/>
    <x:mergeCell ref="A18:J18"/>
    <x:mergeCell ref="C19:J19"/>
    <x:mergeCell ref="C20:J20"/>
    <x:mergeCell ref="C21:J21"/>
    <x:mergeCell ref="C22:J22"/>
    <x:mergeCell ref="C23:J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16" hidden="0" customWidth="1"/>
    <x:col min="5" max="5" width="16" hidden="0" customWidth="1"/>
    <x:col min="6" max="6" width="8" hidden="0" customWidth="1"/>
    <x:col min="7" max="7" width="9" hidden="0" customWidth="1"/>
    <x:col min="8" max="8" width="13" hidden="0" customWidth="1"/>
    <x:col min="9" max="9" width="13" hidden="0" customWidth="1"/>
    <x:col min="10" max="10" width="11" hidden="0" customWidth="1"/>
    <x:col min="11" max="11" width="12" hidden="0" customWidth="1"/>
    <x:col min="12" max="12" width="12" hidden="0" customWidth="1"/>
    <x:col min="13" max="13" width="14" hidden="0" customWidth="1"/>
    <x:col min="14" max="14" width="16" hidden="0" customWidth="1"/>
    <x:col min="15" max="15" width="14" hidden="0" customWidth="1"/>
    <x:col min="16" max="16" width="12" hidden="0" customWidth="1"/>
    <x:col min="17" max="17" width="15" hidden="0" customWidth="1"/>
    <x:col min="18" max="18" width="11" hidden="0" customWidth="1"/>
    <x:col min="19" max="19" width="13" hidden="0" customWidth="1"/>
    <x:col min="20" max="20" width="35" hidden="0" customWidth="1"/>
  </x:cols>
  <x:sheetData>
    <x:row r="1" ht="30" customHeight="1">
      <x:c r="A1" s="4" t="str">
        <x:v>실거래 신고 표본 | 구역별 최신 20건</x:v>
      </x:c>
      <x:c r="B1" s="4" t="str">
        <x:v>실거래 신고 표본 | 구역별 최신 20건</x:v>
      </x:c>
      <x:c r="C1" s="4" t="str">
        <x:v>실거래 신고 표본 | 구역별 최신 20건</x:v>
      </x:c>
      <x:c r="D1" s="4" t="str">
        <x:v>실거래 신고 표본 | 구역별 최신 20건</x:v>
      </x:c>
      <x:c r="E1" s="4" t="str">
        <x:v>실거래 신고 표본 | 구역별 최신 20건</x:v>
      </x:c>
      <x:c r="F1" s="4" t="str">
        <x:v>실거래 신고 표본 | 구역별 최신 20건</x:v>
      </x:c>
      <x:c r="G1" s="4" t="str">
        <x:v>실거래 신고 표본 | 구역별 최신 20건</x:v>
      </x:c>
      <x:c r="H1" s="4" t="str">
        <x:v>실거래 신고 표본 | 구역별 최신 20건</x:v>
      </x:c>
      <x:c r="I1" s="4" t="str">
        <x:v>실거래 신고 표본 | 구역별 최신 20건</x:v>
      </x:c>
      <x:c r="J1" s="4" t="str">
        <x:v>실거래 신고 표본 | 구역별 최신 20건</x:v>
      </x:c>
      <x:c r="K1" s="4" t="str">
        <x:v>실거래 신고 표본 | 구역별 최신 20건</x:v>
      </x:c>
      <x:c r="L1" s="4" t="str">
        <x:v>실거래 신고 표본 | 구역별 최신 20건</x:v>
      </x:c>
      <x:c r="M1" s="4" t="str">
        <x:v>실거래 신고 표본 | 구역별 최신 20건</x:v>
      </x:c>
      <x:c r="N1" s="4" t="str">
        <x:v>실거래 신고 표본 | 구역별 최신 20건</x:v>
      </x:c>
      <x:c r="O1" s="4" t="str">
        <x:v>실거래 신고 표본 | 구역별 최신 20건</x:v>
      </x:c>
      <x:c r="P1" s="4" t="str">
        <x:v>실거래 신고 표본 | 구역별 최신 20건</x:v>
      </x:c>
      <x:c r="Q1" s="4" t="str">
        <x:v>실거래 신고 표본 | 구역별 최신 20건</x:v>
      </x:c>
      <x:c r="R1" s="4" t="str">
        <x:v>실거래 신고 표본 | 구역별 최신 20건</x:v>
      </x:c>
      <x:c r="S1" s="4" t="str">
        <x:v>실거래 신고 표본 | 구역별 최신 20건</x:v>
      </x:c>
      <x:c r="T1" s="4" t="str">
        <x:v>실거래 신고 표본 | 구역별 최신 20건</x:v>
      </x:c>
    </x:row>
    <x:row r="2" ht="34" customHeight="1">
      <x:c r="A2" s="8" t="str">
        <x:v>단위: 가격은 만원/억원, 면적은 ㎡/평. 원자료는 공개 재개발 플랫폼의 구역별 2025-09-01~2026-08-31 필터 결과 중 최신 20건이며, 원계약 사실은 국토부 시스템에서 재확인 필요.</x:v>
      </x:c>
      <x:c r="B2" s="8" t="str">
        <x:v>단위: 가격은 만원/억원, 면적은 ㎡/평. 원자료는 공개 재개발 플랫폼의 구역별 2025-09-01~2026-08-31 필터 결과 중 최신 20건이며, 원계약 사실은 국토부 시스템에서 재확인 필요.</x:v>
      </x:c>
      <x:c r="C2" s="8" t="str">
        <x:v>단위: 가격은 만원/억원, 면적은 ㎡/평. 원자료는 공개 재개발 플랫폼의 구역별 2025-09-01~2026-08-31 필터 결과 중 최신 20건이며, 원계약 사실은 국토부 시스템에서 재확인 필요.</x:v>
      </x:c>
      <x:c r="D2" s="8" t="str">
        <x:v>단위: 가격은 만원/억원, 면적은 ㎡/평. 원자료는 공개 재개발 플랫폼의 구역별 2025-09-01~2026-08-31 필터 결과 중 최신 20건이며, 원계약 사실은 국토부 시스템에서 재확인 필요.</x:v>
      </x:c>
      <x:c r="E2" s="8" t="str">
        <x:v>단위: 가격은 만원/억원, 면적은 ㎡/평. 원자료는 공개 재개발 플랫폼의 구역별 2025-09-01~2026-08-31 필터 결과 중 최신 20건이며, 원계약 사실은 국토부 시스템에서 재확인 필요.</x:v>
      </x:c>
      <x:c r="F2" s="8" t="str">
        <x:v>단위: 가격은 만원/억원, 면적은 ㎡/평. 원자료는 공개 재개발 플랫폼의 구역별 2025-09-01~2026-08-31 필터 결과 중 최신 20건이며, 원계약 사실은 국토부 시스템에서 재확인 필요.</x:v>
      </x:c>
      <x:c r="G2" s="8" t="str">
        <x:v>단위: 가격은 만원/억원, 면적은 ㎡/평. 원자료는 공개 재개발 플랫폼의 구역별 2025-09-01~2026-08-31 필터 결과 중 최신 20건이며, 원계약 사실은 국토부 시스템에서 재확인 필요.</x:v>
      </x:c>
      <x:c r="H2" s="8" t="str">
        <x:v>단위: 가격은 만원/억원, 면적은 ㎡/평. 원자료는 공개 재개발 플랫폼의 구역별 2025-09-01~2026-08-31 필터 결과 중 최신 20건이며, 원계약 사실은 국토부 시스템에서 재확인 필요.</x:v>
      </x:c>
      <x:c r="I2" s="8" t="str">
        <x:v>단위: 가격은 만원/억원, 면적은 ㎡/평. 원자료는 공개 재개발 플랫폼의 구역별 2025-09-01~2026-08-31 필터 결과 중 최신 20건이며, 원계약 사실은 국토부 시스템에서 재확인 필요.</x:v>
      </x:c>
      <x:c r="J2" s="8" t="str">
        <x:v>단위: 가격은 만원/억원, 면적은 ㎡/평. 원자료는 공개 재개발 플랫폼의 구역별 2025-09-01~2026-08-31 필터 결과 중 최신 20건이며, 원계약 사실은 국토부 시스템에서 재확인 필요.</x:v>
      </x:c>
      <x:c r="K2" s="8" t="str">
        <x:v>단위: 가격은 만원/억원, 면적은 ㎡/평. 원자료는 공개 재개발 플랫폼의 구역별 2025-09-01~2026-08-31 필터 결과 중 최신 20건이며, 원계약 사실은 국토부 시스템에서 재확인 필요.</x:v>
      </x:c>
      <x:c r="L2" s="8" t="str">
        <x:v>단위: 가격은 만원/억원, 면적은 ㎡/평. 원자료는 공개 재개발 플랫폼의 구역별 2025-09-01~2026-08-31 필터 결과 중 최신 20건이며, 원계약 사실은 국토부 시스템에서 재확인 필요.</x:v>
      </x:c>
      <x:c r="M2" s="8" t="str">
        <x:v>단위: 가격은 만원/억원, 면적은 ㎡/평. 원자료는 공개 재개발 플랫폼의 구역별 2025-09-01~2026-08-31 필터 결과 중 최신 20건이며, 원계약 사실은 국토부 시스템에서 재확인 필요.</x:v>
      </x:c>
      <x:c r="N2" s="8" t="str">
        <x:v>단위: 가격은 만원/억원, 면적은 ㎡/평. 원자료는 공개 재개발 플랫폼의 구역별 2025-09-01~2026-08-31 필터 결과 중 최신 20건이며, 원계약 사실은 국토부 시스템에서 재확인 필요.</x:v>
      </x:c>
      <x:c r="O2" s="8" t="str">
        <x:v>단위: 가격은 만원/억원, 면적은 ㎡/평. 원자료는 공개 재개발 플랫폼의 구역별 2025-09-01~2026-08-31 필터 결과 중 최신 20건이며, 원계약 사실은 국토부 시스템에서 재확인 필요.</x:v>
      </x:c>
      <x:c r="P2" s="8" t="str">
        <x:v>단위: 가격은 만원/억원, 면적은 ㎡/평. 원자료는 공개 재개발 플랫폼의 구역별 2025-09-01~2026-08-31 필터 결과 중 최신 20건이며, 원계약 사실은 국토부 시스템에서 재확인 필요.</x:v>
      </x:c>
      <x:c r="Q2" s="8" t="str">
        <x:v>단위: 가격은 만원/억원, 면적은 ㎡/평. 원자료는 공개 재개발 플랫폼의 구역별 2025-09-01~2026-08-31 필터 결과 중 최신 20건이며, 원계약 사실은 국토부 시스템에서 재확인 필요.</x:v>
      </x:c>
      <x:c r="R2" s="8" t="str">
        <x:v>단위: 가격은 만원/억원, 면적은 ㎡/평. 원자료는 공개 재개발 플랫폼의 구역별 2025-09-01~2026-08-31 필터 결과 중 최신 20건이며, 원계약 사실은 국토부 시스템에서 재확인 필요.</x:v>
      </x:c>
      <x:c r="S2" s="8" t="str">
        <x:v>단위: 가격은 만원/억원, 면적은 ㎡/평. 원자료는 공개 재개발 플랫폼의 구역별 2025-09-01~2026-08-31 필터 결과 중 최신 20건이며, 원계약 사실은 국토부 시스템에서 재확인 필요.</x:v>
      </x:c>
      <x:c r="T2" s="8" t="str">
        <x:v>단위: 가격은 만원/억원, 면적은 ㎡/평. 원자료는 공개 재개발 플랫폼의 구역별 2025-09-01~2026-08-31 필터 결과 중 최신 20건이며, 원계약 사실은 국토부 시스템에서 재확인 필요.</x:v>
      </x:c>
    </x:row>
    <x:row r="5" ht="30" customHeight="1">
      <x:c r="A5" s="17" t="str">
        <x:v>구역</x:v>
      </x:c>
      <x:c r="B5" s="17" t="str">
        <x:v>계약일</x:v>
      </x:c>
      <x:c r="C5" s="17" t="str">
        <x:v>유형</x:v>
      </x:c>
      <x:c r="D5" s="17" t="str">
        <x:v>주소</x:v>
      </x:c>
      <x:c r="E5" s="17" t="str">
        <x:v>동/건물</x:v>
      </x:c>
      <x:c r="F5" s="17" t="str">
        <x:v>층</x:v>
      </x:c>
      <x:c r="G5" s="17" t="str">
        <x:v>준공</x:v>
      </x:c>
      <x:c r="H5" s="17" t="str">
        <x:v>주택형태</x:v>
      </x:c>
      <x:c r="I5" s="17" t="str">
        <x:v>거래가
(만원)</x:v>
      </x:c>
      <x:c r="J5" s="17" t="str">
        <x:v>거래가
(억원)</x:v>
      </x:c>
      <x:c r="K5" s="17" t="str">
        <x:v>대지면적
(㎡)</x:v>
      </x:c>
      <x:c r="L5" s="17" t="str">
        <x:v>대지면적
(평)</x:v>
      </x:c>
      <x:c r="M5" s="17" t="str">
        <x:v>대지평당가
(만원/평)</x:v>
      </x:c>
      <x:c r="N5" s="17" t="str">
        <x:v>원자료 대지평당가
(만원/평)</x:v>
      </x:c>
      <x:c r="O5" s="17" t="str">
        <x:v>공시가격
(만원)</x:v>
      </x:c>
      <x:c r="P5" s="17" t="str">
        <x:v>공시가격
(억원)</x:v>
      </x:c>
      <x:c r="Q5" s="17" t="str">
        <x:v>공시가격 차액
(억원)</x:v>
      </x:c>
      <x:c r="R5" s="17" t="str">
        <x:v>매매/공시
(배)</x:v>
      </x:c>
      <x:c r="S5" s="17" t="str">
        <x:v>취소일</x:v>
      </x:c>
      <x:c r="T5" s="17" t="str">
        <x:v>출처</x:v>
      </x:c>
    </x:row>
    <x:row r="6">
      <x:c r="A6" s="24" t="str">
        <x:v>신흥1구역</x:v>
      </x:c>
      <x:c r="B6" s="61" t="n">
        <x:v>46250.5</x:v>
      </x:c>
      <x:c r="C6" s="25" t="str">
        <x:v>단독</x:v>
      </x:c>
      <x:c r="D6" s="25" t="str">
        <x:v>신흥동 6702</x:v>
      </x:c>
      <x:c r="E6" s="25" t="str"/>
      <x:c r="F6" s="25"/>
      <x:c r="G6" s="25" t="n">
        <x:v>1990</x:v>
      </x:c>
      <x:c r="H6" s="25" t="str">
        <x:v>다가구</x:v>
      </x:c>
      <x:c r="I6" s="30" t="n">
        <x:v>93000</x:v>
      </x:c>
      <x:c r="J6" s="65" t="n">
        <x:f>I6/10000</x:f>
        <x:v>9.3</x:v>
      </x:c>
      <x:c r="K6" s="32" t="n">
        <x:v>61.2</x:v>
      </x:c>
      <x:c r="L6" s="32" t="n">
        <x:f>IFERROR(K6/3.305785,"")</x:f>
        <x:v>18.513000694237526</x:v>
      </x:c>
      <x:c r="M6" s="32" t="n">
        <x:f>IFERROR(I6/L6,"")</x:f>
        <x:v>5023.49681372549</x:v>
      </x:c>
      <x:c r="N6" s="32" t="n">
        <x:v>5023.519607843136</x:v>
      </x:c>
      <x:c r="O6" s="30" t="n">
        <x:v>26400</x:v>
      </x:c>
      <x:c r="P6" s="65" t="n">
        <x:f>IFERROR(O6/10000,"")</x:f>
        <x:v>2.64</x:v>
      </x:c>
      <x:c r="Q6" s="65" t="n">
        <x:f>IFERROR((I6-O6)/10000,"")</x:f>
        <x:v>6.66</x:v>
      </x:c>
      <x:c r="R6" s="69" t="n">
        <x:f>IFERROR(I6/O6,"")</x:f>
        <x:v>3.522727272727273</x:v>
      </x:c>
      <x:c r="S6" s="61"/>
      <x:c r="T6" s="72" t="str">
        <x:v>https://jaegebal.co.kr/develops/4027</x:v>
      </x:c>
    </x:row>
    <x:row r="7">
      <x:c r="A7" s="58" t="str">
        <x:v>신흥1구역</x:v>
      </x:c>
      <x:c r="B7" s="62" t="n">
        <x:v>46249.5</x:v>
      </x:c>
      <x:c r="C7" s="59" t="str">
        <x:v>단독</x:v>
      </x:c>
      <x:c r="D7" s="59" t="str">
        <x:v>신흥동 4972</x:v>
      </x:c>
      <x:c r="E7" s="59" t="str"/>
      <x:c r="F7" s="59"/>
      <x:c r="G7" s="59" t="n">
        <x:v>1993</x:v>
      </x:c>
      <x:c r="H7" s="59" t="str">
        <x:v>다가구</x:v>
      </x:c>
      <x:c r="I7" s="64" t="n">
        <x:v>93000</x:v>
      </x:c>
      <x:c r="J7" s="66" t="n">
        <x:f>I7/10000</x:f>
        <x:v>9.3</x:v>
      </x:c>
      <x:c r="K7" s="68" t="n">
        <x:v>66.1</x:v>
      </x:c>
      <x:c r="L7" s="68" t="n">
        <x:f>IFERROR(K7/3.305785,"")</x:f>
        <x:v>19.9952507498219</x:v>
      </x:c>
      <x:c r="M7" s="68" t="n">
        <x:f>IFERROR(I7/L7,"")</x:f>
        <x:v>4651.104462934948</x:v>
      </x:c>
      <x:c r="N7" s="68" t="n">
        <x:v>4651.1255673222395</x:v>
      </x:c>
      <x:c r="O7" s="64" t="n">
        <x:v>27000</x:v>
      </x:c>
      <x:c r="P7" s="66" t="n">
        <x:f>IFERROR(O7/10000,"")</x:f>
        <x:v>2.7</x:v>
      </x:c>
      <x:c r="Q7" s="66" t="n">
        <x:f>IFERROR((I7-O7)/10000,"")</x:f>
        <x:v>6.6</x:v>
      </x:c>
      <x:c r="R7" s="70" t="n">
        <x:f>IFERROR(I7/O7,"")</x:f>
        <x:v>3.4444444444444446</x:v>
      </x:c>
      <x:c r="S7" s="62"/>
      <x:c r="T7" s="73" t="str">
        <x:v>https://jaegebal.co.kr/develops/4027</x:v>
      </x:c>
    </x:row>
    <x:row r="8">
      <x:c r="A8" s="58" t="str">
        <x:v>신흥1구역</x:v>
      </x:c>
      <x:c r="B8" s="62" t="n">
        <x:v>46248.5</x:v>
      </x:c>
      <x:c r="C8" s="59" t="str">
        <x:v>단독</x:v>
      </x:c>
      <x:c r="D8" s="59" t="str">
        <x:v>신흥동 5906</x:v>
      </x:c>
      <x:c r="E8" s="59" t="str"/>
      <x:c r="F8" s="59"/>
      <x:c r="G8" s="59" t="n">
        <x:v>1991</x:v>
      </x:c>
      <x:c r="H8" s="59" t="str">
        <x:v>단독</x:v>
      </x:c>
      <x:c r="I8" s="64" t="n">
        <x:v>98000</x:v>
      </x:c>
      <x:c r="J8" s="66" t="n">
        <x:f>I8/10000</x:f>
        <x:v>9.8</x:v>
      </x:c>
      <x:c r="K8" s="68" t="n">
        <x:v>63.5</x:v>
      </x:c>
      <x:c r="L8" s="68" t="n">
        <x:f>IFERROR(K8/3.305785,"")</x:f>
        <x:v>19.20875072032815</x:v>
      </x:c>
      <x:c r="M8" s="68" t="n">
        <x:f>IFERROR(I8/L8,"")</x:f>
        <x:v>5101.841417322835</x:v>
      </x:c>
      <x:c r="N8" s="68" t="n">
        <x:v>5101.8645669291345</x:v>
      </x:c>
      <x:c r="O8" s="64" t="n">
        <x:v>18900</x:v>
      </x:c>
      <x:c r="P8" s="66" t="n">
        <x:f>IFERROR(O8/10000,"")</x:f>
        <x:v>1.89</x:v>
      </x:c>
      <x:c r="Q8" s="66" t="n">
        <x:f>IFERROR((I8-O8)/10000,"")</x:f>
        <x:v>7.91</x:v>
      </x:c>
      <x:c r="R8" s="70" t="n">
        <x:f>IFERROR(I8/O8,"")</x:f>
        <x:v>5.185185185185185</x:v>
      </x:c>
      <x:c r="S8" s="62"/>
      <x:c r="T8" s="73" t="str">
        <x:v>https://jaegebal.co.kr/develops/4027</x:v>
      </x:c>
    </x:row>
    <x:row r="9">
      <x:c r="A9" s="58" t="str">
        <x:v>신흥1구역</x:v>
      </x:c>
      <x:c r="B9" s="62" t="n">
        <x:v>46248.5</x:v>
      </x:c>
      <x:c r="C9" s="59" t="str">
        <x:v>단독</x:v>
      </x:c>
      <x:c r="D9" s="59" t="str">
        <x:v>신흥동 5237</x:v>
      </x:c>
      <x:c r="E9" s="59" t="str"/>
      <x:c r="F9" s="59"/>
      <x:c r="G9" s="59" t="n">
        <x:v>2004</x:v>
      </x:c>
      <x:c r="H9" s="59" t="str">
        <x:v>다가구</x:v>
      </x:c>
      <x:c r="I9" s="64" t="n">
        <x:v>92000</x:v>
      </x:c>
      <x:c r="J9" s="66" t="n">
        <x:f>I9/10000</x:f>
        <x:v>9.2</x:v>
      </x:c>
      <x:c r="K9" s="68" t="n">
        <x:v>65.5</x:v>
      </x:c>
      <x:c r="L9" s="68" t="n">
        <x:f>IFERROR(K9/3.305785,"")</x:f>
        <x:v>19.813750743015653</x:v>
      </x:c>
      <x:c r="M9" s="68" t="n">
        <x:f>IFERROR(I9/L9,"")</x:f>
        <x:v>4643.24</x:v>
      </x:c>
      <x:c r="N9" s="68" t="n">
        <x:v>4643.261068702291</x:v>
      </x:c>
      <x:c r="O9" s="64" t="n">
        <x:v>30400</x:v>
      </x:c>
      <x:c r="P9" s="66" t="n">
        <x:f>IFERROR(O9/10000,"")</x:f>
        <x:v>3.04</x:v>
      </x:c>
      <x:c r="Q9" s="66" t="n">
        <x:f>IFERROR((I9-O9)/10000,"")</x:f>
        <x:v>6.16</x:v>
      </x:c>
      <x:c r="R9" s="70" t="n">
        <x:f>IFERROR(I9/O9,"")</x:f>
        <x:v>3.026315789473684</x:v>
      </x:c>
      <x:c r="S9" s="62"/>
      <x:c r="T9" s="73" t="str">
        <x:v>https://jaegebal.co.kr/develops/4027</x:v>
      </x:c>
    </x:row>
    <x:row r="10">
      <x:c r="A10" s="58" t="str">
        <x:v>신흥1구역</x:v>
      </x:c>
      <x:c r="B10" s="62" t="n">
        <x:v>46247.5</x:v>
      </x:c>
      <x:c r="C10" s="59" t="str">
        <x:v>단독</x:v>
      </x:c>
      <x:c r="D10" s="59" t="str">
        <x:v>신흥동 5039</x:v>
      </x:c>
      <x:c r="E10" s="59" t="str"/>
      <x:c r="F10" s="59"/>
      <x:c r="G10" s="59" t="n">
        <x:v>1993</x:v>
      </x:c>
      <x:c r="H10" s="59" t="str">
        <x:v>다가구</x:v>
      </x:c>
      <x:c r="I10" s="64" t="n">
        <x:v>87000</x:v>
      </x:c>
      <x:c r="J10" s="66" t="n">
        <x:f>I10/10000</x:f>
        <x:v>8.7</x:v>
      </x:c>
      <x:c r="K10" s="68" t="n">
        <x:v>62.1</x:v>
      </x:c>
      <x:c r="L10" s="68" t="n">
        <x:f>IFERROR(K10/3.305785,"")</x:f>
        <x:v>18.785250704446902</x:v>
      </x:c>
      <x:c r="M10" s="68" t="n">
        <x:f>IFERROR(I10/L10,"")</x:f>
        <x:v>4631.292995169082</x:v>
      </x:c>
      <x:c r="N10" s="68" t="n">
        <x:v>4631.314009661836</x:v>
      </x:c>
      <x:c r="O10" s="64" t="n">
        <x:v>26700</x:v>
      </x:c>
      <x:c r="P10" s="66" t="n">
        <x:f>IFERROR(O10/10000,"")</x:f>
        <x:v>2.67</x:v>
      </x:c>
      <x:c r="Q10" s="66" t="n">
        <x:f>IFERROR((I10-O10)/10000,"")</x:f>
        <x:v>6.03</x:v>
      </x:c>
      <x:c r="R10" s="70" t="n">
        <x:f>IFERROR(I10/O10,"")</x:f>
        <x:v>3.258426966292135</x:v>
      </x:c>
      <x:c r="S10" s="62"/>
      <x:c r="T10" s="73" t="str">
        <x:v>https://jaegebal.co.kr/develops/4027</x:v>
      </x:c>
    </x:row>
    <x:row r="11">
      <x:c r="A11" s="58" t="str">
        <x:v>신흥1구역</x:v>
      </x:c>
      <x:c r="B11" s="62" t="n">
        <x:v>46243.5</x:v>
      </x:c>
      <x:c r="C11" s="59" t="str">
        <x:v>단독</x:v>
      </x:c>
      <x:c r="D11" s="59" t="str">
        <x:v>신흥동 6375</x:v>
      </x:c>
      <x:c r="E11" s="59" t="str"/>
      <x:c r="F11" s="59"/>
      <x:c r="G11" s="59" t="n">
        <x:v>1991</x:v>
      </x:c>
      <x:c r="H11" s="59" t="str">
        <x:v>다가구</x:v>
      </x:c>
      <x:c r="I11" s="64" t="n">
        <x:v>115000</x:v>
      </x:c>
      <x:c r="J11" s="66" t="n">
        <x:f>I11/10000</x:f>
        <x:v>11.5</x:v>
      </x:c>
      <x:c r="K11" s="68" t="n">
        <x:v>83.6</x:v>
      </x:c>
      <x:c r="L11" s="68" t="n">
        <x:f>IFERROR(K11/3.305785,"")</x:f>
        <x:v>25.28900094833753</x:v>
      </x:c>
      <x:c r="M11" s="68" t="n">
        <x:f>IFERROR(I11/L11,"")</x:f>
        <x:v>4547.431519138757</x:v>
      </x:c>
      <x:c r="N11" s="68" t="n">
        <x:v>4547.452153110048</x:v>
      </x:c>
      <x:c r="O11" s="64" t="n">
        <x:v>36600</x:v>
      </x:c>
      <x:c r="P11" s="66" t="n">
        <x:f>IFERROR(O11/10000,"")</x:f>
        <x:v>3.66</x:v>
      </x:c>
      <x:c r="Q11" s="66" t="n">
        <x:f>IFERROR((I11-O11)/10000,"")</x:f>
        <x:v>7.84</x:v>
      </x:c>
      <x:c r="R11" s="70" t="n">
        <x:f>IFERROR(I11/O11,"")</x:f>
        <x:v>3.1420765027322406</x:v>
      </x:c>
      <x:c r="S11" s="62"/>
      <x:c r="T11" s="73" t="str">
        <x:v>https://jaegebal.co.kr/develops/4027</x:v>
      </x:c>
    </x:row>
    <x:row r="12">
      <x:c r="A12" s="58" t="str">
        <x:v>신흥1구역</x:v>
      </x:c>
      <x:c r="B12" s="62" t="n">
        <x:v>46242.5</x:v>
      </x:c>
      <x:c r="C12" s="59" t="str">
        <x:v>단독</x:v>
      </x:c>
      <x:c r="D12" s="59" t="str">
        <x:v>신흥동 6750</x:v>
      </x:c>
      <x:c r="E12" s="59" t="str"/>
      <x:c r="F12" s="59"/>
      <x:c r="G12" s="59" t="n">
        <x:v>1992</x:v>
      </x:c>
      <x:c r="H12" s="59" t="str">
        <x:v>다가구</x:v>
      </x:c>
      <x:c r="I12" s="64" t="n">
        <x:v>90000</x:v>
      </x:c>
      <x:c r="J12" s="66" t="n">
        <x:f>I12/10000</x:f>
        <x:v>9</x:v>
      </x:c>
      <x:c r="K12" s="68" t="n">
        <x:v>62.5</x:v>
      </x:c>
      <x:c r="L12" s="68" t="n">
        <x:f>IFERROR(K12/3.305785,"")</x:f>
        <x:v>18.906250708984402</x:v>
      </x:c>
      <x:c r="M12" s="68" t="n">
        <x:f>IFERROR(I12/L12,"")</x:f>
        <x:v>4760.3304</x:v>
      </x:c>
      <x:c r="N12" s="68" t="n">
        <x:v>4760.352</x:v>
      </x:c>
      <x:c r="O12" s="64" t="n">
        <x:v>25500</x:v>
      </x:c>
      <x:c r="P12" s="66" t="n">
        <x:f>IFERROR(O12/10000,"")</x:f>
        <x:v>2.55</x:v>
      </x:c>
      <x:c r="Q12" s="66" t="n">
        <x:f>IFERROR((I12-O12)/10000,"")</x:f>
        <x:v>6.45</x:v>
      </x:c>
      <x:c r="R12" s="70" t="n">
        <x:f>IFERROR(I12/O12,"")</x:f>
        <x:v>3.5294117647058822</x:v>
      </x:c>
      <x:c r="S12" s="62"/>
      <x:c r="T12" s="73" t="str">
        <x:v>https://jaegebal.co.kr/develops/4027</x:v>
      </x:c>
    </x:row>
    <x:row r="13">
      <x:c r="A13" s="58" t="str">
        <x:v>신흥1구역</x:v>
      </x:c>
      <x:c r="B13" s="62" t="n">
        <x:v>46241.5</x:v>
      </x:c>
      <x:c r="C13" s="59" t="str">
        <x:v>다세대</x:v>
      </x:c>
      <x:c r="D13" s="59" t="str">
        <x:v>신흥동 6938</x:v>
      </x:c>
      <x:c r="E13" s="59" t="str">
        <x:v>엘지아트빌라(A동)</x:v>
      </x:c>
      <x:c r="F13" s="59" t="str">
        <x:v>2</x:v>
      </x:c>
      <x:c r="G13" s="59" t="n">
        <x:v>2002</x:v>
      </x:c>
      <x:c r="H13" s="59" t="str">
        <x:v>다세대</x:v>
      </x:c>
      <x:c r="I13" s="64" t="n">
        <x:v>97000</x:v>
      </x:c>
      <x:c r="J13" s="66" t="n">
        <x:f>I13/10000</x:f>
        <x:v>9.7</x:v>
      </x:c>
      <x:c r="K13" s="68" t="n">
        <x:v>35.83</x:v>
      </x:c>
      <x:c r="L13" s="68" t="n">
        <x:f>IFERROR(K13/3.305785,"")</x:f>
        <x:v>10.838575406446576</x:v>
      </x:c>
      <x:c r="M13" s="68" t="n">
        <x:f>IFERROR(I13/L13,"")</x:f>
        <x:v>8949.515629360872</x:v>
      </x:c>
      <x:c r="N13" s="68" t="n">
        <x:v>8949.556237789562</x:v>
      </x:c>
      <x:c r="O13" s="64" t="n">
        <x:v>48800</x:v>
      </x:c>
      <x:c r="P13" s="66" t="n">
        <x:f>IFERROR(O13/10000,"")</x:f>
        <x:v>4.88</x:v>
      </x:c>
      <x:c r="Q13" s="66" t="n">
        <x:f>IFERROR((I13-O13)/10000,"")</x:f>
        <x:v>4.82</x:v>
      </x:c>
      <x:c r="R13" s="70" t="n">
        <x:f>IFERROR(I13/O13,"")</x:f>
        <x:v>1.9877049180327868</x:v>
      </x:c>
      <x:c r="S13" s="62"/>
      <x:c r="T13" s="73" t="str">
        <x:v>https://jaegebal.co.kr/develops/4027</x:v>
      </x:c>
    </x:row>
    <x:row r="14">
      <x:c r="A14" s="58" t="str">
        <x:v>신흥1구역</x:v>
      </x:c>
      <x:c r="B14" s="62" t="n">
        <x:v>46238.5</x:v>
      </x:c>
      <x:c r="C14" s="59" t="str">
        <x:v>단독</x:v>
      </x:c>
      <x:c r="D14" s="59" t="str">
        <x:v>신흥동 6839</x:v>
      </x:c>
      <x:c r="E14" s="59" t="str"/>
      <x:c r="F14" s="59"/>
      <x:c r="G14" s="59" t="n">
        <x:v>1990</x:v>
      </x:c>
      <x:c r="H14" s="59" t="str">
        <x:v>단독</x:v>
      </x:c>
      <x:c r="I14" s="64" t="n">
        <x:v>86500</x:v>
      </x:c>
      <x:c r="J14" s="66" t="n">
        <x:f>I14/10000</x:f>
        <x:v>8.65</x:v>
      </x:c>
      <x:c r="K14" s="68" t="n">
        <x:v>61.5</x:v>
      </x:c>
      <x:c r="L14" s="68" t="n">
        <x:f>IFERROR(K14/3.305785,"")</x:f>
        <x:v>18.60375069764065</x:v>
      </x:c>
      <x:c r="M14" s="68" t="n">
        <x:f>IFERROR(I14/L14,"")</x:f>
        <x:v>4649.600040650407</x:v>
      </x:c>
      <x:c r="N14" s="68" t="n">
        <x:v>4649.6211382113825</x:v>
      </x:c>
      <x:c r="O14" s="64" t="n">
        <x:v>25200</x:v>
      </x:c>
      <x:c r="P14" s="66" t="n">
        <x:f>IFERROR(O14/10000,"")</x:f>
        <x:v>2.52</x:v>
      </x:c>
      <x:c r="Q14" s="66" t="n">
        <x:f>IFERROR((I14-O14)/10000,"")</x:f>
        <x:v>6.13</x:v>
      </x:c>
      <x:c r="R14" s="70" t="n">
        <x:f>IFERROR(I14/O14,"")</x:f>
        <x:v>3.4325396825396823</x:v>
      </x:c>
      <x:c r="S14" s="62"/>
      <x:c r="T14" s="73" t="str">
        <x:v>https://jaegebal.co.kr/develops/4027</x:v>
      </x:c>
    </x:row>
    <x:row r="15">
      <x:c r="A15" s="58" t="str">
        <x:v>신흥1구역</x:v>
      </x:c>
      <x:c r="B15" s="62" t="n">
        <x:v>46234.5</x:v>
      </x:c>
      <x:c r="C15" s="59" t="str">
        <x:v>단독</x:v>
      </x:c>
      <x:c r="D15" s="59" t="str">
        <x:v>신흥동 6349</x:v>
      </x:c>
      <x:c r="E15" s="59" t="str"/>
      <x:c r="F15" s="59"/>
      <x:c r="G15" s="59" t="n">
        <x:v>1990</x:v>
      </x:c>
      <x:c r="H15" s="59" t="str">
        <x:v>다가구</x:v>
      </x:c>
      <x:c r="I15" s="64" t="n">
        <x:v>100000</x:v>
      </x:c>
      <x:c r="J15" s="66" t="n">
        <x:f>I15/10000</x:f>
        <x:v>10</x:v>
      </x:c>
      <x:c r="K15" s="68" t="n">
        <x:v>71.1</x:v>
      </x:c>
      <x:c r="L15" s="68" t="n">
        <x:f>IFERROR(K15/3.305785,"")</x:f>
        <x:v>21.507750806540653</x:v>
      </x:c>
      <x:c r="M15" s="68" t="n">
        <x:f>IFERROR(I15/L15,"")</x:f>
        <x:v>4649.486638537272</x:v>
      </x:c>
      <x:c r="N15" s="68" t="n">
        <x:v>4649.507735583686</x:v>
      </x:c>
      <x:c r="O15" s="64" t="n">
        <x:v>30800</x:v>
      </x:c>
      <x:c r="P15" s="66" t="n">
        <x:f>IFERROR(O15/10000,"")</x:f>
        <x:v>3.08</x:v>
      </x:c>
      <x:c r="Q15" s="66" t="n">
        <x:f>IFERROR((I15-O15)/10000,"")</x:f>
        <x:v>6.92</x:v>
      </x:c>
      <x:c r="R15" s="70" t="n">
        <x:f>IFERROR(I15/O15,"")</x:f>
        <x:v>3.2467532467532467</x:v>
      </x:c>
      <x:c r="S15" s="62"/>
      <x:c r="T15" s="73" t="str">
        <x:v>https://jaegebal.co.kr/develops/4027</x:v>
      </x:c>
    </x:row>
    <x:row r="16">
      <x:c r="A16" s="58" t="str">
        <x:v>신흥1구역</x:v>
      </x:c>
      <x:c r="B16" s="62" t="n">
        <x:v>46233.5</x:v>
      </x:c>
      <x:c r="C16" s="59" t="str">
        <x:v>단독</x:v>
      </x:c>
      <x:c r="D16" s="59" t="str">
        <x:v>신흥동 4814</x:v>
      </x:c>
      <x:c r="E16" s="59" t="str"/>
      <x:c r="F16" s="59"/>
      <x:c r="G16" s="59" t="n">
        <x:v>1984</x:v>
      </x:c>
      <x:c r="H16" s="59" t="str">
        <x:v>다가구</x:v>
      </x:c>
      <x:c r="I16" s="64" t="n">
        <x:v>88000</x:v>
      </x:c>
      <x:c r="J16" s="66" t="n">
        <x:f>I16/10000</x:f>
        <x:v>8.8</x:v>
      </x:c>
      <x:c r="K16" s="68" t="n">
        <x:v>64.5</x:v>
      </x:c>
      <x:c r="L16" s="68" t="n">
        <x:f>IFERROR(K16/3.305785,"")</x:f>
        <x:v>19.5112507316719</x:v>
      </x:c>
      <x:c r="M16" s="68" t="n">
        <x:f>IFERROR(I16/L16,"")</x:f>
        <x:v>4510.218294573644</x:v>
      </x:c>
      <x:c r="N16" s="68" t="n">
        <x:v>4510.2387596899225</x:v>
      </x:c>
      <x:c r="O16" s="64" t="n">
        <x:v>29800</x:v>
      </x:c>
      <x:c r="P16" s="66" t="n">
        <x:f>IFERROR(O16/10000,"")</x:f>
        <x:v>2.98</x:v>
      </x:c>
      <x:c r="Q16" s="66" t="n">
        <x:f>IFERROR((I16-O16)/10000,"")</x:f>
        <x:v>5.82</x:v>
      </x:c>
      <x:c r="R16" s="70" t="n">
        <x:f>IFERROR(I16/O16,"")</x:f>
        <x:v>2.953020134228188</x:v>
      </x:c>
      <x:c r="S16" s="62"/>
      <x:c r="T16" s="73" t="str">
        <x:v>https://jaegebal.co.kr/develops/4027</x:v>
      </x:c>
    </x:row>
    <x:row r="17">
      <x:c r="A17" s="58" t="str">
        <x:v>신흥1구역</x:v>
      </x:c>
      <x:c r="B17" s="62" t="n">
        <x:v>46231.5</x:v>
      </x:c>
      <x:c r="C17" s="59" t="str">
        <x:v>단독</x:v>
      </x:c>
      <x:c r="D17" s="59" t="str">
        <x:v>신흥동 5807</x:v>
      </x:c>
      <x:c r="E17" s="59" t="str"/>
      <x:c r="F17" s="59"/>
      <x:c r="G17" s="59" t="n">
        <x:v>1972</x:v>
      </x:c>
      <x:c r="H17" s="59" t="str">
        <x:v>단독</x:v>
      </x:c>
      <x:c r="I17" s="64" t="n">
        <x:v>100000</x:v>
      </x:c>
      <x:c r="J17" s="66" t="n">
        <x:f>I17/10000</x:f>
        <x:v>10</x:v>
      </x:c>
      <x:c r="K17" s="68" t="n">
        <x:v>68.4</x:v>
      </x:c>
      <x:c r="L17" s="68" t="n">
        <x:f>IFERROR(K17/3.305785,"")</x:f>
        <x:v>20.691000775912528</x:v>
      </x:c>
      <x:c r="M17" s="68" t="n">
        <x:f>IFERROR(I17/L17,"")</x:f>
        <x:v>4833.019005847954</x:v>
      </x:c>
      <x:c r="N17" s="68" t="n">
        <x:v>4833.040935672514</x:v>
      </x:c>
      <x:c r="O17" s="64" t="n">
        <x:v>24200</x:v>
      </x:c>
      <x:c r="P17" s="66" t="n">
        <x:f>IFERROR(O17/10000,"")</x:f>
        <x:v>2.42</x:v>
      </x:c>
      <x:c r="Q17" s="66" t="n">
        <x:f>IFERROR((I17-O17)/10000,"")</x:f>
        <x:v>7.58</x:v>
      </x:c>
      <x:c r="R17" s="70" t="n">
        <x:f>IFERROR(I17/O17,"")</x:f>
        <x:v>4.132231404958677</x:v>
      </x:c>
      <x:c r="S17" s="62"/>
      <x:c r="T17" s="73" t="str">
        <x:v>https://jaegebal.co.kr/develops/4027</x:v>
      </x:c>
    </x:row>
    <x:row r="18">
      <x:c r="A18" s="58" t="str">
        <x:v>신흥1구역</x:v>
      </x:c>
      <x:c r="B18" s="62" t="n">
        <x:v>46228.5</x:v>
      </x:c>
      <x:c r="C18" s="59" t="str">
        <x:v>단독</x:v>
      </x:c>
      <x:c r="D18" s="59" t="str">
        <x:v>신흥동 6422</x:v>
      </x:c>
      <x:c r="E18" s="59" t="str"/>
      <x:c r="F18" s="59"/>
      <x:c r="G18" s="59" t="n">
        <x:v>1984</x:v>
      </x:c>
      <x:c r="H18" s="59" t="str">
        <x:v>다가구</x:v>
      </x:c>
      <x:c r="I18" s="64" t="n">
        <x:v>100000</x:v>
      </x:c>
      <x:c r="J18" s="66" t="n">
        <x:f>I18/10000</x:f>
        <x:v>10</x:v>
      </x:c>
      <x:c r="K18" s="68" t="n">
        <x:v>64.1</x:v>
      </x:c>
      <x:c r="L18" s="68" t="n">
        <x:f>IFERROR(K18/3.305785,"")</x:f>
        <x:v>19.3902507271344</x:v>
      </x:c>
      <x:c r="M18" s="68" t="n">
        <x:f>IFERROR(I18/L18,"")</x:f>
        <x:v>5157.2308892355695</x:v>
      </x:c>
      <x:c r="N18" s="68" t="n">
        <x:v>5157.254290171608</x:v>
      </x:c>
      <x:c r="O18" s="64" t="n">
        <x:v>27700</x:v>
      </x:c>
      <x:c r="P18" s="66" t="n">
        <x:f>IFERROR(O18/10000,"")</x:f>
        <x:v>2.77</x:v>
      </x:c>
      <x:c r="Q18" s="66" t="n">
        <x:f>IFERROR((I18-O18)/10000,"")</x:f>
        <x:v>7.23</x:v>
      </x:c>
      <x:c r="R18" s="70" t="n">
        <x:f>IFERROR(I18/O18,"")</x:f>
        <x:v>3.6101083032490973</x:v>
      </x:c>
      <x:c r="S18" s="62"/>
      <x:c r="T18" s="73" t="str">
        <x:v>https://jaegebal.co.kr/develops/4027</x:v>
      </x:c>
    </x:row>
    <x:row r="19">
      <x:c r="A19" s="58" t="str">
        <x:v>신흥1구역</x:v>
      </x:c>
      <x:c r="B19" s="62" t="n">
        <x:v>46223.5</x:v>
      </x:c>
      <x:c r="C19" s="59" t="str">
        <x:v>단독</x:v>
      </x:c>
      <x:c r="D19" s="59" t="str">
        <x:v>신흥동 4742</x:v>
      </x:c>
      <x:c r="E19" s="59" t="str"/>
      <x:c r="F19" s="59"/>
      <x:c r="G19" s="59" t="n">
        <x:v>1993</x:v>
      </x:c>
      <x:c r="H19" s="59" t="str">
        <x:v>다가구</x:v>
      </x:c>
      <x:c r="I19" s="64" t="n">
        <x:v>90000</x:v>
      </x:c>
      <x:c r="J19" s="66" t="n">
        <x:f>I19/10000</x:f>
        <x:v>9</x:v>
      </x:c>
      <x:c r="K19" s="68" t="n">
        <x:v>61.5</x:v>
      </x:c>
      <x:c r="L19" s="68" t="n">
        <x:f>IFERROR(K19/3.305785,"")</x:f>
        <x:v>18.60375069764065</x:v>
      </x:c>
      <x:c r="M19" s="68" t="n">
        <x:f>IFERROR(I19/L19,"")</x:f>
        <x:v>4837.734146341464</x:v>
      </x:c>
      <x:c r="N19" s="68" t="n">
        <x:v>4837.756097560976</x:v>
      </x:c>
      <x:c r="O19" s="64" t="n">
        <x:v>24600</x:v>
      </x:c>
      <x:c r="P19" s="66" t="n">
        <x:f>IFERROR(O19/10000,"")</x:f>
        <x:v>2.46</x:v>
      </x:c>
      <x:c r="Q19" s="66" t="n">
        <x:f>IFERROR((I19-O19)/10000,"")</x:f>
        <x:v>6.54</x:v>
      </x:c>
      <x:c r="R19" s="70" t="n">
        <x:f>IFERROR(I19/O19,"")</x:f>
        <x:v>3.658536585365854</x:v>
      </x:c>
      <x:c r="S19" s="62"/>
      <x:c r="T19" s="73" t="str">
        <x:v>https://jaegebal.co.kr/develops/4027</x:v>
      </x:c>
    </x:row>
    <x:row r="20">
      <x:c r="A20" s="58" t="str">
        <x:v>신흥1구역</x:v>
      </x:c>
      <x:c r="B20" s="62" t="n">
        <x:v>46220.5</x:v>
      </x:c>
      <x:c r="C20" s="59" t="str">
        <x:v>단독</x:v>
      </x:c>
      <x:c r="D20" s="59" t="str">
        <x:v>신흥동 5319-1</x:v>
      </x:c>
      <x:c r="E20" s="59" t="str"/>
      <x:c r="F20" s="59"/>
      <x:c r="G20" s="59" t="n">
        <x:v>1984</x:v>
      </x:c>
      <x:c r="H20" s="59" t="str">
        <x:v>다가구</x:v>
      </x:c>
      <x:c r="I20" s="64" t="n">
        <x:v>110500</x:v>
      </x:c>
      <x:c r="J20" s="66" t="n">
        <x:f>I20/10000</x:f>
        <x:v>11.05</x:v>
      </x:c>
      <x:c r="K20" s="68" t="n">
        <x:v>90.9</x:v>
      </x:c>
      <x:c r="L20" s="68" t="n">
        <x:f>IFERROR(K20/3.305785,"")</x:f>
        <x:v>27.497251031146913</x:v>
      </x:c>
      <x:c r="M20" s="68" t="n">
        <x:f>IFERROR(I20/L20,"")</x:f>
        <x:v>4018.5835258525854</x:v>
      </x:c>
      <x:c r="N20" s="68" t="n">
        <x:v>4018.6017601760173</x:v>
      </x:c>
      <x:c r="O20" s="64" t="n">
        <x:v>39000</x:v>
      </x:c>
      <x:c r="P20" s="66" t="n">
        <x:f>IFERROR(O20/10000,"")</x:f>
        <x:v>3.9</x:v>
      </x:c>
      <x:c r="Q20" s="66" t="n">
        <x:f>IFERROR((I20-O20)/10000,"")</x:f>
        <x:v>7.15</x:v>
      </x:c>
      <x:c r="R20" s="70" t="n">
        <x:f>IFERROR(I20/O20,"")</x:f>
        <x:v>2.8333333333333335</x:v>
      </x:c>
      <x:c r="S20" s="62"/>
      <x:c r="T20" s="73" t="str">
        <x:v>https://jaegebal.co.kr/develops/4027</x:v>
      </x:c>
    </x:row>
    <x:row r="21">
      <x:c r="A21" s="58" t="str">
        <x:v>신흥1구역</x:v>
      </x:c>
      <x:c r="B21" s="62" t="n">
        <x:v>46220.5</x:v>
      </x:c>
      <x:c r="C21" s="59" t="str">
        <x:v>단독</x:v>
      </x:c>
      <x:c r="D21" s="59" t="str">
        <x:v>신흥동 5821</x:v>
      </x:c>
      <x:c r="E21" s="59" t="str"/>
      <x:c r="F21" s="59"/>
      <x:c r="G21" s="59" t="n">
        <x:v>1993</x:v>
      </x:c>
      <x:c r="H21" s="59" t="str">
        <x:v>다가구</x:v>
      </x:c>
      <x:c r="I21" s="64" t="n">
        <x:v>96000</x:v>
      </x:c>
      <x:c r="J21" s="66" t="n">
        <x:f>I21/10000</x:f>
        <x:v>9.6</x:v>
      </x:c>
      <x:c r="K21" s="68" t="n">
        <x:v>69.4</x:v>
      </x:c>
      <x:c r="L21" s="68" t="n">
        <x:f>IFERROR(K21/3.305785,"")</x:f>
        <x:v>20.99350078725628</x:v>
      </x:c>
      <x:c r="M21" s="68" t="n">
        <x:f>IFERROR(I21/L21,"")</x:f>
        <x:v>4572.843804034582</x:v>
      </x:c>
      <x:c r="N21" s="68" t="n">
        <x:v>4572.864553314121</x:v>
      </x:c>
      <x:c r="O21" s="64" t="n">
        <x:v>29100</x:v>
      </x:c>
      <x:c r="P21" s="66" t="n">
        <x:f>IFERROR(O21/10000,"")</x:f>
        <x:v>2.91</x:v>
      </x:c>
      <x:c r="Q21" s="66" t="n">
        <x:f>IFERROR((I21-O21)/10000,"")</x:f>
        <x:v>6.69</x:v>
      </x:c>
      <x:c r="R21" s="70" t="n">
        <x:f>IFERROR(I21/O21,"")</x:f>
        <x:v>3.2989690721649483</x:v>
      </x:c>
      <x:c r="S21" s="62"/>
      <x:c r="T21" s="73" t="str">
        <x:v>https://jaegebal.co.kr/develops/4027</x:v>
      </x:c>
    </x:row>
    <x:row r="22">
      <x:c r="A22" s="58" t="str">
        <x:v>신흥1구역</x:v>
      </x:c>
      <x:c r="B22" s="62" t="n">
        <x:v>46217.5</x:v>
      </x:c>
      <x:c r="C22" s="59" t="str">
        <x:v>단독</x:v>
      </x:c>
      <x:c r="D22" s="59" t="str">
        <x:v>신흥동 6897</x:v>
      </x:c>
      <x:c r="E22" s="59" t="str"/>
      <x:c r="F22" s="59"/>
      <x:c r="G22" s="59" t="n">
        <x:v>1987</x:v>
      </x:c>
      <x:c r="H22" s="59" t="str">
        <x:v>다가구</x:v>
      </x:c>
      <x:c r="I22" s="64" t="n">
        <x:v>99000</x:v>
      </x:c>
      <x:c r="J22" s="66" t="n">
        <x:f>I22/10000</x:f>
        <x:v>9.9</x:v>
      </x:c>
      <x:c r="K22" s="68" t="n">
        <x:v>60.8</x:v>
      </x:c>
      <x:c r="L22" s="68" t="n">
        <x:f>IFERROR(K22/3.305785,"")</x:f>
        <x:v>18.392000689700023</x:v>
      </x:c>
      <x:c r="M22" s="68" t="n">
        <x:f>IFERROR(I22/L22,"")</x:f>
        <x:v>5382.774917763159</x:v>
      </x:c>
      <x:c r="N22" s="68" t="n">
        <x:v>5382.799342105263</x:v>
      </x:c>
      <x:c r="O22" s="64" t="n">
        <x:v>26300</x:v>
      </x:c>
      <x:c r="P22" s="66" t="n">
        <x:f>IFERROR(O22/10000,"")</x:f>
        <x:v>2.63</x:v>
      </x:c>
      <x:c r="Q22" s="66" t="n">
        <x:f>IFERROR((I22-O22)/10000,"")</x:f>
        <x:v>7.27</x:v>
      </x:c>
      <x:c r="R22" s="70" t="n">
        <x:f>IFERROR(I22/O22,"")</x:f>
        <x:v>3.76425855513308</x:v>
      </x:c>
      <x:c r="S22" s="62"/>
      <x:c r="T22" s="73" t="str">
        <x:v>https://jaegebal.co.kr/develops/4027</x:v>
      </x:c>
    </x:row>
    <x:row r="23">
      <x:c r="A23" s="58" t="str">
        <x:v>신흥1구역</x:v>
      </x:c>
      <x:c r="B23" s="62" t="n">
        <x:v>46216.5</x:v>
      </x:c>
      <x:c r="C23" s="59" t="str">
        <x:v>단독</x:v>
      </x:c>
      <x:c r="D23" s="59" t="str">
        <x:v>신흥동 5676</x:v>
      </x:c>
      <x:c r="E23" s="59" t="str"/>
      <x:c r="F23" s="59"/>
      <x:c r="G23" s="59" t="n">
        <x:v>1990</x:v>
      </x:c>
      <x:c r="H23" s="59" t="str">
        <x:v>다가구</x:v>
      </x:c>
      <x:c r="I23" s="64" t="n">
        <x:v>95000</x:v>
      </x:c>
      <x:c r="J23" s="66" t="n">
        <x:f>I23/10000</x:f>
        <x:v>9.5</x:v>
      </x:c>
      <x:c r="K23" s="68" t="n">
        <x:v>64.5</x:v>
      </x:c>
      <x:c r="L23" s="68" t="n">
        <x:f>IFERROR(K23/3.305785,"")</x:f>
        <x:v>19.5112507316719</x:v>
      </x:c>
      <x:c r="M23" s="68" t="n">
        <x:f>IFERROR(I23/L23,"")</x:f>
        <x:v>4868.985658914729</x:v>
      </x:c>
      <x:c r="N23" s="68" t="n">
        <x:v>4869.007751937985</x:v>
      </x:c>
      <x:c r="O23" s="64" t="n">
        <x:v>27000</x:v>
      </x:c>
      <x:c r="P23" s="66" t="n">
        <x:f>IFERROR(O23/10000,"")</x:f>
        <x:v>2.7</x:v>
      </x:c>
      <x:c r="Q23" s="66" t="n">
        <x:f>IFERROR((I23-O23)/10000,"")</x:f>
        <x:v>6.8</x:v>
      </x:c>
      <x:c r="R23" s="70" t="n">
        <x:f>IFERROR(I23/O23,"")</x:f>
        <x:v>3.5185185185185186</x:v>
      </x:c>
      <x:c r="S23" s="62"/>
      <x:c r="T23" s="73" t="str">
        <x:v>https://jaegebal.co.kr/develops/4027</x:v>
      </x:c>
    </x:row>
    <x:row r="24">
      <x:c r="A24" s="58" t="str">
        <x:v>신흥1구역</x:v>
      </x:c>
      <x:c r="B24" s="62" t="n">
        <x:v>46214.5</x:v>
      </x:c>
      <x:c r="C24" s="59" t="str">
        <x:v>단독</x:v>
      </x:c>
      <x:c r="D24" s="59" t="str">
        <x:v>신흥동 5700</x:v>
      </x:c>
      <x:c r="E24" s="59" t="str"/>
      <x:c r="F24" s="59"/>
      <x:c r="G24" s="59" t="n">
        <x:v>1992</x:v>
      </x:c>
      <x:c r="H24" s="59" t="str">
        <x:v>다가구</x:v>
      </x:c>
      <x:c r="I24" s="64" t="n">
        <x:v>91000</x:v>
      </x:c>
      <x:c r="J24" s="66" t="n">
        <x:f>I24/10000</x:f>
        <x:v>9.1</x:v>
      </x:c>
      <x:c r="K24" s="68" t="n">
        <x:v>60.5</x:v>
      </x:c>
      <x:c r="L24" s="68" t="n">
        <x:f>IFERROR(K24/3.305785,"")</x:f>
        <x:v>18.3012506862969</x:v>
      </x:c>
      <x:c r="M24" s="68" t="n">
        <x:f>IFERROR(I24/L24,"")</x:f>
        <x:v>4972.337768595042</x:v>
      </x:c>
      <x:c r="N24" s="68" t="n">
        <x:v>4972.360330578513</x:v>
      </x:c>
      <x:c r="O24" s="64" t="n">
        <x:v>25000</x:v>
      </x:c>
      <x:c r="P24" s="66" t="n">
        <x:f>IFERROR(O24/10000,"")</x:f>
        <x:v>2.5</x:v>
      </x:c>
      <x:c r="Q24" s="66" t="n">
        <x:f>IFERROR((I24-O24)/10000,"")</x:f>
        <x:v>6.6</x:v>
      </x:c>
      <x:c r="R24" s="70" t="n">
        <x:f>IFERROR(I24/O24,"")</x:f>
        <x:v>3.64</x:v>
      </x:c>
      <x:c r="S24" s="62"/>
      <x:c r="T24" s="73" t="str">
        <x:v>https://jaegebal.co.kr/develops/4027</x:v>
      </x:c>
    </x:row>
    <x:row r="25">
      <x:c r="A25" s="58" t="str">
        <x:v>신흥1구역</x:v>
      </x:c>
      <x:c r="B25" s="62" t="n">
        <x:v>46213.5</x:v>
      </x:c>
      <x:c r="C25" s="59" t="str">
        <x:v>단독</x:v>
      </x:c>
      <x:c r="D25" s="59" t="str">
        <x:v>신흥동 4333</x:v>
      </x:c>
      <x:c r="E25" s="59" t="str"/>
      <x:c r="F25" s="59"/>
      <x:c r="G25" s="59" t="n">
        <x:v>2002</x:v>
      </x:c>
      <x:c r="H25" s="59" t="str">
        <x:v>다가구</x:v>
      </x:c>
      <x:c r="I25" s="64" t="n">
        <x:v>106000</x:v>
      </x:c>
      <x:c r="J25" s="66" t="n">
        <x:f>I25/10000</x:f>
        <x:v>10.6</x:v>
      </x:c>
      <x:c r="K25" s="68" t="n">
        <x:v>71.1</x:v>
      </x:c>
      <x:c r="L25" s="68" t="n">
        <x:f>IFERROR(K25/3.305785,"")</x:f>
        <x:v>21.507750806540653</x:v>
      </x:c>
      <x:c r="M25" s="68" t="n">
        <x:f>IFERROR(I25/L25,"")</x:f>
        <x:v>4928.455836849508</x:v>
      </x:c>
      <x:c r="N25" s="68" t="n">
        <x:v>4928.4781997187065</x:v>
      </x:c>
      <x:c r="O25" s="64" t="n">
        <x:v>37600</x:v>
      </x:c>
      <x:c r="P25" s="66" t="n">
        <x:f>IFERROR(O25/10000,"")</x:f>
        <x:v>3.76</x:v>
      </x:c>
      <x:c r="Q25" s="66" t="n">
        <x:f>IFERROR((I25-O25)/10000,"")</x:f>
        <x:v>6.84</x:v>
      </x:c>
      <x:c r="R25" s="70" t="n">
        <x:f>IFERROR(I25/O25,"")</x:f>
        <x:v>2.8191489361702127</x:v>
      </x:c>
      <x:c r="S25" s="62"/>
      <x:c r="T25" s="73" t="str">
        <x:v>https://jaegebal.co.kr/develops/4027</x:v>
      </x:c>
    </x:row>
    <x:row r="26">
      <x:c r="A26" s="58" t="str">
        <x:v>신흥3구역</x:v>
      </x:c>
      <x:c r="B26" s="62" t="n">
        <x:v>46242.5</x:v>
      </x:c>
      <x:c r="C26" s="59" t="str">
        <x:v>단독</x:v>
      </x:c>
      <x:c r="D26" s="59" t="str">
        <x:v>신흥동 3517</x:v>
      </x:c>
      <x:c r="E26" s="59" t="str"/>
      <x:c r="F26" s="59"/>
      <x:c r="G26" s="59" t="n">
        <x:v>1988</x:v>
      </x:c>
      <x:c r="H26" s="59" t="str">
        <x:v>다가구</x:v>
      </x:c>
      <x:c r="I26" s="64" t="n">
        <x:v>94500</x:v>
      </x:c>
      <x:c r="J26" s="66" t="n">
        <x:f>I26/10000</x:f>
        <x:v>9.45</x:v>
      </x:c>
      <x:c r="K26" s="68" t="n">
        <x:v>73.1</x:v>
      </x:c>
      <x:c r="L26" s="68" t="n">
        <x:f>IFERROR(K26/3.305785,"")</x:f>
        <x:v>22.112750829228155</x:v>
      </x:c>
      <x:c r="M26" s="68" t="n">
        <x:f>IFERROR(I26/L26,"")</x:f>
        <x:v>4273.552428180575</x:v>
      </x:c>
      <x:c r="N26" s="68" t="n">
        <x:v>4273.571819425445</x:v>
      </x:c>
      <x:c r="O26" s="64" t="n">
        <x:v>27600</x:v>
      </x:c>
      <x:c r="P26" s="66" t="n">
        <x:f>IFERROR(O26/10000,"")</x:f>
        <x:v>2.76</x:v>
      </x:c>
      <x:c r="Q26" s="66" t="n">
        <x:f>IFERROR((I26-O26)/10000,"")</x:f>
        <x:v>6.69</x:v>
      </x:c>
      <x:c r="R26" s="70" t="n">
        <x:f>IFERROR(I26/O26,"")</x:f>
        <x:v>3.4239130434782608</x:v>
      </x:c>
      <x:c r="S26" s="62"/>
      <x:c r="T26" s="73" t="str">
        <x:v>https://jaegebal.co.kr/develops/4072</x:v>
      </x:c>
    </x:row>
    <x:row r="27">
      <x:c r="A27" s="58" t="str">
        <x:v>신흥3구역</x:v>
      </x:c>
      <x:c r="B27" s="62" t="n">
        <x:v>46239.5</x:v>
      </x:c>
      <x:c r="C27" s="59" t="str">
        <x:v>다세대</x:v>
      </x:c>
      <x:c r="D27" s="59" t="str">
        <x:v>신흥동 3388</x:v>
      </x:c>
      <x:c r="E27" s="59" t="str">
        <x:v>민성아이빌(A동)</x:v>
      </x:c>
      <x:c r="F27" s="59" t="str">
        <x:v>2</x:v>
      </x:c>
      <x:c r="G27" s="59" t="n">
        <x:v>2002</x:v>
      </x:c>
      <x:c r="H27" s="59" t="str">
        <x:v>다세대</x:v>
      </x:c>
      <x:c r="I27" s="64" t="n">
        <x:v>90000</x:v>
      </x:c>
      <x:c r="J27" s="66" t="n">
        <x:f>I27/10000</x:f>
        <x:v>9</x:v>
      </x:c>
      <x:c r="K27" s="68" t="n">
        <x:v>32.11</x:v>
      </x:c>
      <x:c r="L27" s="68" t="n">
        <x:f>IFERROR(K27/3.305785,"")</x:f>
        <x:v>9.713275364247826</x:v>
      </x:c>
      <x:c r="M27" s="68" t="n">
        <x:f>IFERROR(I27/L27,"")</x:f>
        <x:v>9265.669573341638</x:v>
      </x:c>
      <x:c r="N27" s="68" t="n">
        <x:v>9265.711616318904</x:v>
      </x:c>
      <x:c r="O27" s="64" t="n">
        <x:v>47800</x:v>
      </x:c>
      <x:c r="P27" s="66" t="n">
        <x:f>IFERROR(O27/10000,"")</x:f>
        <x:v>4.78</x:v>
      </x:c>
      <x:c r="Q27" s="66" t="n">
        <x:f>IFERROR((I27-O27)/10000,"")</x:f>
        <x:v>4.22</x:v>
      </x:c>
      <x:c r="R27" s="70" t="n">
        <x:f>IFERROR(I27/O27,"")</x:f>
        <x:v>1.8828451882845187</x:v>
      </x:c>
      <x:c r="S27" s="62"/>
      <x:c r="T27" s="73" t="str">
        <x:v>https://jaegebal.co.kr/develops/4072</x:v>
      </x:c>
    </x:row>
    <x:row r="28">
      <x:c r="A28" s="58" t="str">
        <x:v>신흥3구역</x:v>
      </x:c>
      <x:c r="B28" s="62" t="n">
        <x:v>46234.5</x:v>
      </x:c>
      <x:c r="C28" s="59" t="str">
        <x:v>다세대</x:v>
      </x:c>
      <x:c r="D28" s="59" t="str">
        <x:v>신흥동 3300</x:v>
      </x:c>
      <x:c r="E28" s="59" t="str">
        <x:v>정립빌라</x:v>
      </x:c>
      <x:c r="F28" s="59" t="str">
        <x:v>2</x:v>
      </x:c>
      <x:c r="G28" s="59" t="n">
        <x:v>1998</x:v>
      </x:c>
      <x:c r="H28" s="59" t="str">
        <x:v>다세대</x:v>
      </x:c>
      <x:c r="I28" s="64" t="n">
        <x:v>92000</x:v>
      </x:c>
      <x:c r="J28" s="66" t="n">
        <x:f>I28/10000</x:f>
        <x:v>9.2</x:v>
      </x:c>
      <x:c r="K28" s="68" t="n">
        <x:v>34.46</x:v>
      </x:c>
      <x:c r="L28" s="68" t="n">
        <x:f>IFERROR(K28/3.305785,"")</x:f>
        <x:v>10.42415039090564</x:v>
      </x:c>
      <x:c r="M28" s="68" t="n">
        <x:f>IFERROR(I28/L28,"")</x:f>
        <x:v>8825.659315147997</x:v>
      </x:c>
      <x:c r="N28" s="68" t="n">
        <x:v>8825.699361578641</x:v>
      </x:c>
      <x:c r="O28" s="64" t="n">
        <x:v>37900</x:v>
      </x:c>
      <x:c r="P28" s="66" t="n">
        <x:f>IFERROR(O28/10000,"")</x:f>
        <x:v>3.79</x:v>
      </x:c>
      <x:c r="Q28" s="66" t="n">
        <x:f>IFERROR((I28-O28)/10000,"")</x:f>
        <x:v>5.41</x:v>
      </x:c>
      <x:c r="R28" s="70" t="n">
        <x:f>IFERROR(I28/O28,"")</x:f>
        <x:v>2.4274406332453826</x:v>
      </x:c>
      <x:c r="S28" s="62"/>
      <x:c r="T28" s="73" t="str">
        <x:v>https://jaegebal.co.kr/develops/4072</x:v>
      </x:c>
    </x:row>
    <x:row r="29">
      <x:c r="A29" s="58" t="str">
        <x:v>신흥3구역</x:v>
      </x:c>
      <x:c r="B29" s="62" t="n">
        <x:v>46232.5</x:v>
      </x:c>
      <x:c r="C29" s="59" t="str">
        <x:v>단독</x:v>
      </x:c>
      <x:c r="D29" s="59" t="str">
        <x:v>신흥동 3022</x:v>
      </x:c>
      <x:c r="E29" s="59" t="str"/>
      <x:c r="F29" s="59"/>
      <x:c r="G29" s="59" t="n">
        <x:v>1990</x:v>
      </x:c>
      <x:c r="H29" s="59" t="str">
        <x:v>단독</x:v>
      </x:c>
      <x:c r="I29" s="64" t="n">
        <x:v>94700</x:v>
      </x:c>
      <x:c r="J29" s="66" t="n">
        <x:f>I29/10000</x:f>
        <x:v>9.47</x:v>
      </x:c>
      <x:c r="K29" s="68" t="n">
        <x:v>60.5</x:v>
      </x:c>
      <x:c r="L29" s="68" t="n">
        <x:f>IFERROR(K29/3.305785,"")</x:f>
        <x:v>18.3012506862969</x:v>
      </x:c>
      <x:c r="M29" s="68" t="n">
        <x:f>IFERROR(I29/L29,"")</x:f>
        <x:v>5174.509743801653</x:v>
      </x:c>
      <x:c r="N29" s="68" t="n">
        <x:v>5174.533223140496</x:v>
      </x:c>
      <x:c r="O29" s="64" t="n">
        <x:v>23300</x:v>
      </x:c>
      <x:c r="P29" s="66" t="n">
        <x:f>IFERROR(O29/10000,"")</x:f>
        <x:v>2.33</x:v>
      </x:c>
      <x:c r="Q29" s="66" t="n">
        <x:f>IFERROR((I29-O29)/10000,"")</x:f>
        <x:v>7.14</x:v>
      </x:c>
      <x:c r="R29" s="70" t="n">
        <x:f>IFERROR(I29/O29,"")</x:f>
        <x:v>4.064377682403434</x:v>
      </x:c>
      <x:c r="S29" s="62"/>
      <x:c r="T29" s="73" t="str">
        <x:v>https://jaegebal.co.kr/develops/4072</x:v>
      </x:c>
    </x:row>
    <x:row r="30">
      <x:c r="A30" s="58" t="str">
        <x:v>신흥3구역</x:v>
      </x:c>
      <x:c r="B30" s="62" t="n">
        <x:v>46228.5</x:v>
      </x:c>
      <x:c r="C30" s="59" t="str">
        <x:v>단독</x:v>
      </x:c>
      <x:c r="D30" s="59" t="str">
        <x:v>신흥동 3142</x:v>
      </x:c>
      <x:c r="E30" s="59" t="str"/>
      <x:c r="F30" s="59"/>
      <x:c r="G30" s="59" t="n">
        <x:v>1992</x:v>
      </x:c>
      <x:c r="H30" s="59" t="str">
        <x:v>다가구</x:v>
      </x:c>
      <x:c r="I30" s="64" t="n">
        <x:v>90500</x:v>
      </x:c>
      <x:c r="J30" s="66" t="n">
        <x:f>I30/10000</x:f>
        <x:v>9.05</x:v>
      </x:c>
      <x:c r="K30" s="68" t="n">
        <x:v>71.1</x:v>
      </x:c>
      <x:c r="L30" s="68" t="n">
        <x:f>IFERROR(K30/3.305785,"")</x:f>
        <x:v>21.507750806540653</x:v>
      </x:c>
      <x:c r="M30" s="68" t="n">
        <x:f>IFERROR(I30/L30,"")</x:f>
        <x:v>4207.785407876231</x:v>
      </x:c>
      <x:c r="N30" s="68" t="n">
        <x:v>4207.804500703235</x:v>
      </x:c>
      <x:c r="O30" s="64" t="n">
        <x:v>27300</x:v>
      </x:c>
      <x:c r="P30" s="66" t="n">
        <x:f>IFERROR(O30/10000,"")</x:f>
        <x:v>2.73</x:v>
      </x:c>
      <x:c r="Q30" s="66" t="n">
        <x:f>IFERROR((I30-O30)/10000,"")</x:f>
        <x:v>6.32</x:v>
      </x:c>
      <x:c r="R30" s="70" t="n">
        <x:f>IFERROR(I30/O30,"")</x:f>
        <x:v>3.3150183150183152</x:v>
      </x:c>
      <x:c r="S30" s="62"/>
      <x:c r="T30" s="73" t="str">
        <x:v>https://jaegebal.co.kr/develops/4072</x:v>
      </x:c>
    </x:row>
    <x:row r="31">
      <x:c r="A31" s="58" t="str">
        <x:v>신흥3구역</x:v>
      </x:c>
      <x:c r="B31" s="62" t="n">
        <x:v>46212.5</x:v>
      </x:c>
      <x:c r="C31" s="59" t="str">
        <x:v>단독</x:v>
      </x:c>
      <x:c r="D31" s="59" t="str">
        <x:v>신흥동 3720</x:v>
      </x:c>
      <x:c r="E31" s="59" t="str"/>
      <x:c r="F31" s="59"/>
      <x:c r="G31" s="59" t="n">
        <x:v>1986</x:v>
      </x:c>
      <x:c r="H31" s="59" t="str">
        <x:v>다가구</x:v>
      </x:c>
      <x:c r="I31" s="64" t="n">
        <x:v>100000</x:v>
      </x:c>
      <x:c r="J31" s="66" t="n">
        <x:f>I31/10000</x:f>
        <x:v>10</x:v>
      </x:c>
      <x:c r="K31" s="68" t="n">
        <x:v>69.8</x:v>
      </x:c>
      <x:c r="L31" s="68" t="n">
        <x:f>IFERROR(K31/3.305785,"")</x:f>
        <x:v>21.114500791793777</x:v>
      </x:c>
      <x:c r="M31" s="68" t="n">
        <x:f>IFERROR(I31/L31,"")</x:f>
        <x:v>4736.0816618911185</x:v>
      </x:c>
      <x:c r="N31" s="68" t="n">
        <x:v>4736.103151862465</x:v>
      </x:c>
      <x:c r="O31" s="64" t="n">
        <x:v>34100</x:v>
      </x:c>
      <x:c r="P31" s="66" t="n">
        <x:f>IFERROR(O31/10000,"")</x:f>
        <x:v>3.41</x:v>
      </x:c>
      <x:c r="Q31" s="66" t="n">
        <x:f>IFERROR((I31-O31)/10000,"")</x:f>
        <x:v>6.59</x:v>
      </x:c>
      <x:c r="R31" s="70" t="n">
        <x:f>IFERROR(I31/O31,"")</x:f>
        <x:v>2.932551319648094</x:v>
      </x:c>
      <x:c r="S31" s="62"/>
      <x:c r="T31" s="73" t="str">
        <x:v>https://jaegebal.co.kr/develops/4072</x:v>
      </x:c>
    </x:row>
    <x:row r="32">
      <x:c r="A32" s="58" t="str">
        <x:v>신흥3구역</x:v>
      </x:c>
      <x:c r="B32" s="62" t="n">
        <x:v>46209.5</x:v>
      </x:c>
      <x:c r="C32" s="59" t="str">
        <x:v>단독</x:v>
      </x:c>
      <x:c r="D32" s="59" t="str">
        <x:v>신흥동 3271-1</x:v>
      </x:c>
      <x:c r="E32" s="59" t="str"/>
      <x:c r="F32" s="59"/>
      <x:c r="G32" s="59" t="n">
        <x:v>1992</x:v>
      </x:c>
      <x:c r="H32" s="59" t="str">
        <x:v>다가구</x:v>
      </x:c>
      <x:c r="I32" s="64" t="n">
        <x:v>83000</x:v>
      </x:c>
      <x:c r="J32" s="66" t="n">
        <x:f>I32/10000</x:f>
        <x:v>8.3</x:v>
      </x:c>
      <x:c r="K32" s="68" t="n">
        <x:v>59.2</x:v>
      </x:c>
      <x:c r="L32" s="68" t="n">
        <x:f>IFERROR(K32/3.305785,"")</x:f>
        <x:v>17.908000671550024</x:v>
      </x:c>
      <x:c r="M32" s="68" t="n">
        <x:f>IFERROR(I32/L32,"")</x:f>
        <x:v>4634.7999155405405</x:v>
      </x:c>
      <x:c r="N32" s="68" t="n">
        <x:v>4634.820945945946</x:v>
      </x:c>
      <x:c r="O32" s="64" t="n">
        <x:v>23800</x:v>
      </x:c>
      <x:c r="P32" s="66" t="n">
        <x:f>IFERROR(O32/10000,"")</x:f>
        <x:v>2.38</x:v>
      </x:c>
      <x:c r="Q32" s="66" t="n">
        <x:f>IFERROR((I32-O32)/10000,"")</x:f>
        <x:v>5.92</x:v>
      </x:c>
      <x:c r="R32" s="70" t="n">
        <x:f>IFERROR(I32/O32,"")</x:f>
        <x:v>3.4873949579831933</x:v>
      </x:c>
      <x:c r="S32" s="62"/>
      <x:c r="T32" s="73" t="str">
        <x:v>https://jaegebal.co.kr/develops/4072</x:v>
      </x:c>
    </x:row>
    <x:row r="33">
      <x:c r="A33" s="58" t="str">
        <x:v>신흥3구역</x:v>
      </x:c>
      <x:c r="B33" s="62" t="n">
        <x:v>46200.5</x:v>
      </x:c>
      <x:c r="C33" s="59" t="str">
        <x:v>단독</x:v>
      </x:c>
      <x:c r="D33" s="59" t="str">
        <x:v>신흥동 3992</x:v>
      </x:c>
      <x:c r="E33" s="59" t="str"/>
      <x:c r="F33" s="59"/>
      <x:c r="G33" s="59" t="n">
        <x:v>1989</x:v>
      </x:c>
      <x:c r="H33" s="59" t="str">
        <x:v>다가구</x:v>
      </x:c>
      <x:c r="I33" s="64" t="n">
        <x:v>87000</x:v>
      </x:c>
      <x:c r="J33" s="66" t="n">
        <x:f>I33/10000</x:f>
        <x:v>8.7</x:v>
      </x:c>
      <x:c r="K33" s="68" t="n">
        <x:v>60.5</x:v>
      </x:c>
      <x:c r="L33" s="68" t="n">
        <x:f>IFERROR(K33/3.305785,"")</x:f>
        <x:v>18.3012506862969</x:v>
      </x:c>
      <x:c r="M33" s="68" t="n">
        <x:f>IFERROR(I33/L33,"")</x:f>
        <x:v>4753.773471074381</x:v>
      </x:c>
      <x:c r="N33" s="68" t="n">
        <x:v>4753.795041322314</x:v>
      </x:c>
      <x:c r="O33" s="64" t="n">
        <x:v>28300</x:v>
      </x:c>
      <x:c r="P33" s="66" t="n">
        <x:f>IFERROR(O33/10000,"")</x:f>
        <x:v>2.83</x:v>
      </x:c>
      <x:c r="Q33" s="66" t="n">
        <x:f>IFERROR((I33-O33)/10000,"")</x:f>
        <x:v>5.87</x:v>
      </x:c>
      <x:c r="R33" s="70" t="n">
        <x:f>IFERROR(I33/O33,"")</x:f>
        <x:v>3.0742049469964665</x:v>
      </x:c>
      <x:c r="S33" s="62"/>
      <x:c r="T33" s="73" t="str">
        <x:v>https://jaegebal.co.kr/develops/4072</x:v>
      </x:c>
    </x:row>
    <x:row r="34">
      <x:c r="A34" s="58" t="str">
        <x:v>신흥3구역</x:v>
      </x:c>
      <x:c r="B34" s="62" t="n">
        <x:v>46200.5</x:v>
      </x:c>
      <x:c r="C34" s="59" t="str">
        <x:v>단독</x:v>
      </x:c>
      <x:c r="D34" s="59" t="str">
        <x:v>신흥동 3939</x:v>
      </x:c>
      <x:c r="E34" s="59" t="str"/>
      <x:c r="F34" s="59"/>
      <x:c r="G34" s="59" t="n">
        <x:v>1987</x:v>
      </x:c>
      <x:c r="H34" s="59" t="str">
        <x:v>다가구</x:v>
      </x:c>
      <x:c r="I34" s="64" t="n">
        <x:v>84000</x:v>
      </x:c>
      <x:c r="J34" s="66" t="n">
        <x:f>I34/10000</x:f>
        <x:v>8.4</x:v>
      </x:c>
      <x:c r="K34" s="68" t="n">
        <x:v>60.5</x:v>
      </x:c>
      <x:c r="L34" s="68" t="n">
        <x:f>IFERROR(K34/3.305785,"")</x:f>
        <x:v>18.3012506862969</x:v>
      </x:c>
      <x:c r="M34" s="68" t="n">
        <x:f>IFERROR(I34/L34,"")</x:f>
        <x:v>4589.850247933885</x:v>
      </x:c>
      <x:c r="N34" s="68" t="n">
        <x:v>4589.871074380166</x:v>
      </x:c>
      <x:c r="O34" s="64" t="n">
        <x:v>24100</x:v>
      </x:c>
      <x:c r="P34" s="66" t="n">
        <x:f>IFERROR(O34/10000,"")</x:f>
        <x:v>2.41</x:v>
      </x:c>
      <x:c r="Q34" s="66" t="n">
        <x:f>IFERROR((I34-O34)/10000,"")</x:f>
        <x:v>5.99</x:v>
      </x:c>
      <x:c r="R34" s="70" t="n">
        <x:f>IFERROR(I34/O34,"")</x:f>
        <x:v>3.4854771784232366</x:v>
      </x:c>
      <x:c r="S34" s="62"/>
      <x:c r="T34" s="73" t="str">
        <x:v>https://jaegebal.co.kr/develops/4072</x:v>
      </x:c>
    </x:row>
    <x:row r="35">
      <x:c r="A35" s="58" t="str">
        <x:v>신흥3구역</x:v>
      </x:c>
      <x:c r="B35" s="62" t="n">
        <x:v>46191.5</x:v>
      </x:c>
      <x:c r="C35" s="59" t="str">
        <x:v>단독</x:v>
      </x:c>
      <x:c r="D35" s="59" t="str">
        <x:v>신흥동 3200</x:v>
      </x:c>
      <x:c r="E35" s="59" t="str"/>
      <x:c r="F35" s="59"/>
      <x:c r="G35" s="59" t="n">
        <x:v>2002</x:v>
      </x:c>
      <x:c r="H35" s="59" t="str">
        <x:v>단독</x:v>
      </x:c>
      <x:c r="I35" s="64" t="n">
        <x:v>136000</x:v>
      </x:c>
      <x:c r="J35" s="66" t="n">
        <x:f>I35/10000</x:f>
        <x:v>13.6</x:v>
      </x:c>
      <x:c r="K35" s="68" t="n">
        <x:v>122.4</x:v>
      </x:c>
      <x:c r="L35" s="68" t="n">
        <x:f>IFERROR(K35/3.305785,"")</x:f>
        <x:v>37.02600138847505</x:v>
      </x:c>
      <x:c r="M35" s="68" t="n">
        <x:f>IFERROR(I35/L35,"")</x:f>
        <x:v>3673.0944444444444</x:v>
      </x:c>
      <x:c r="N35" s="68" t="n">
        <x:v>3673.111111111111</x:v>
      </x:c>
      <x:c r="O35" s="64" t="n">
        <x:v>46000</x:v>
      </x:c>
      <x:c r="P35" s="66" t="n">
        <x:f>IFERROR(O35/10000,"")</x:f>
        <x:v>4.6</x:v>
      </x:c>
      <x:c r="Q35" s="66" t="n">
        <x:f>IFERROR((I35-O35)/10000,"")</x:f>
        <x:v>9</x:v>
      </x:c>
      <x:c r="R35" s="70" t="n">
        <x:f>IFERROR(I35/O35,"")</x:f>
        <x:v>2.9565217391304346</x:v>
      </x:c>
      <x:c r="S35" s="62"/>
      <x:c r="T35" s="73" t="str">
        <x:v>https://jaegebal.co.kr/develops/4072</x:v>
      </x:c>
    </x:row>
    <x:row r="36">
      <x:c r="A36" s="58" t="str">
        <x:v>신흥3구역</x:v>
      </x:c>
      <x:c r="B36" s="62" t="n">
        <x:v>46186.5</x:v>
      </x:c>
      <x:c r="C36" s="59" t="str">
        <x:v>단독</x:v>
      </x:c>
      <x:c r="D36" s="59" t="str">
        <x:v>신흥동 3505</x:v>
      </x:c>
      <x:c r="E36" s="59" t="str"/>
      <x:c r="F36" s="59"/>
      <x:c r="G36" s="59" t="n">
        <x:v>1991</x:v>
      </x:c>
      <x:c r="H36" s="59" t="str">
        <x:v>단독</x:v>
      </x:c>
      <x:c r="I36" s="64" t="n">
        <x:v>100000</x:v>
      </x:c>
      <x:c r="J36" s="66" t="n">
        <x:f>I36/10000</x:f>
        <x:v>10</x:v>
      </x:c>
      <x:c r="K36" s="68" t="n">
        <x:v>63.1</x:v>
      </x:c>
      <x:c r="L36" s="68" t="n">
        <x:f>IFERROR(K36/3.305785,"")</x:f>
        <x:v>19.08775071579065</x:v>
      </x:c>
      <x:c r="M36" s="68" t="n">
        <x:f>IFERROR(I36/L36,"")</x:f>
        <x:v>5238.961965134707</x:v>
      </x:c>
      <x:c r="N36" s="68" t="n">
        <x:v>5238.985736925515</x:v>
      </x:c>
      <x:c r="O36" s="64" t="n">
        <x:v>23600</x:v>
      </x:c>
      <x:c r="P36" s="66" t="n">
        <x:f>IFERROR(O36/10000,"")</x:f>
        <x:v>2.36</x:v>
      </x:c>
      <x:c r="Q36" s="66" t="n">
        <x:f>IFERROR((I36-O36)/10000,"")</x:f>
        <x:v>7.64</x:v>
      </x:c>
      <x:c r="R36" s="70" t="n">
        <x:f>IFERROR(I36/O36,"")</x:f>
        <x:v>4.237288135593221</x:v>
      </x:c>
      <x:c r="S36" s="62"/>
      <x:c r="T36" s="73" t="str">
        <x:v>https://jaegebal.co.kr/develops/4072</x:v>
      </x:c>
    </x:row>
    <x:row r="37">
      <x:c r="A37" s="58" t="str">
        <x:v>신흥3구역</x:v>
      </x:c>
      <x:c r="B37" s="62" t="n">
        <x:v>46186.5</x:v>
      </x:c>
      <x:c r="C37" s="59" t="str">
        <x:v>단독</x:v>
      </x:c>
      <x:c r="D37" s="59" t="str">
        <x:v>신흥동 3634</x:v>
      </x:c>
      <x:c r="E37" s="59" t="str"/>
      <x:c r="F37" s="59"/>
      <x:c r="G37" s="59" t="n">
        <x:v>1990</x:v>
      </x:c>
      <x:c r="H37" s="59" t="str">
        <x:v>단독</x:v>
      </x:c>
      <x:c r="I37" s="64" t="n">
        <x:v>85000</x:v>
      </x:c>
      <x:c r="J37" s="66" t="n">
        <x:f>I37/10000</x:f>
        <x:v>8.5</x:v>
      </x:c>
      <x:c r="K37" s="68" t="n">
        <x:v>63.5</x:v>
      </x:c>
      <x:c r="L37" s="68" t="n">
        <x:f>IFERROR(K37/3.305785,"")</x:f>
        <x:v>19.20875072032815</x:v>
      </x:c>
      <x:c r="M37" s="68" t="n">
        <x:f>IFERROR(I37/L37,"")</x:f>
        <x:v>4425.066535433071</x:v>
      </x:c>
      <x:c r="N37" s="68" t="n">
        <x:v>4425.086614173229</x:v>
      </x:c>
      <x:c r="O37" s="64" t="n">
        <x:v>26600</x:v>
      </x:c>
      <x:c r="P37" s="66" t="n">
        <x:f>IFERROR(O37/10000,"")</x:f>
        <x:v>2.66</x:v>
      </x:c>
      <x:c r="Q37" s="66" t="n">
        <x:f>IFERROR((I37-O37)/10000,"")</x:f>
        <x:v>5.84</x:v>
      </x:c>
      <x:c r="R37" s="70" t="n">
        <x:f>IFERROR(I37/O37,"")</x:f>
        <x:v>3.1954887218045114</x:v>
      </x:c>
      <x:c r="S37" s="62"/>
      <x:c r="T37" s="73" t="str">
        <x:v>https://jaegebal.co.kr/develops/4072</x:v>
      </x:c>
    </x:row>
    <x:row r="38">
      <x:c r="A38" s="58" t="str">
        <x:v>신흥3구역</x:v>
      </x:c>
      <x:c r="B38" s="62" t="n">
        <x:v>46181.5</x:v>
      </x:c>
      <x:c r="C38" s="59" t="str">
        <x:v>단독</x:v>
      </x:c>
      <x:c r="D38" s="59" t="str">
        <x:v>신흥동 2942</x:v>
      </x:c>
      <x:c r="E38" s="59" t="str"/>
      <x:c r="F38" s="59"/>
      <x:c r="G38" s="59" t="n">
        <x:v>1991</x:v>
      </x:c>
      <x:c r="H38" s="59" t="str">
        <x:v>단독</x:v>
      </x:c>
      <x:c r="I38" s="64" t="n">
        <x:v>80000</x:v>
      </x:c>
      <x:c r="J38" s="66" t="n">
        <x:f>I38/10000</x:f>
        <x:v>8</x:v>
      </x:c>
      <x:c r="K38" s="68" t="n">
        <x:v>62.5</x:v>
      </x:c>
      <x:c r="L38" s="68" t="n">
        <x:f>IFERROR(K38/3.305785,"")</x:f>
        <x:v>18.906250708984402</x:v>
      </x:c>
      <x:c r="M38" s="68" t="n">
        <x:f>IFERROR(I38/L38,"")</x:f>
        <x:v>4231.4048</x:v>
      </x:c>
      <x:c r="N38" s="68" t="n">
        <x:v>4231.424</x:v>
      </x:c>
      <x:c r="O38" s="64" t="n">
        <x:v>24300</x:v>
      </x:c>
      <x:c r="P38" s="66" t="n">
        <x:f>IFERROR(O38/10000,"")</x:f>
        <x:v>2.43</x:v>
      </x:c>
      <x:c r="Q38" s="66" t="n">
        <x:f>IFERROR((I38-O38)/10000,"")</x:f>
        <x:v>5.57</x:v>
      </x:c>
      <x:c r="R38" s="70" t="n">
        <x:f>IFERROR(I38/O38,"")</x:f>
        <x:v>3.292181069958848</x:v>
      </x:c>
      <x:c r="S38" s="62"/>
      <x:c r="T38" s="73" t="str">
        <x:v>https://jaegebal.co.kr/develops/4072</x:v>
      </x:c>
    </x:row>
    <x:row r="39">
      <x:c r="A39" s="58" t="str">
        <x:v>신흥3구역</x:v>
      </x:c>
      <x:c r="B39" s="62" t="n">
        <x:v>46179.5</x:v>
      </x:c>
      <x:c r="C39" s="59" t="str">
        <x:v>단독</x:v>
      </x:c>
      <x:c r="D39" s="59" t="str">
        <x:v>신흥동 2800-9</x:v>
      </x:c>
      <x:c r="E39" s="59" t="str"/>
      <x:c r="F39" s="59"/>
      <x:c r="G39" s="59" t="n">
        <x:v>1990</x:v>
      </x:c>
      <x:c r="H39" s="59" t="str">
        <x:v>다가구</x:v>
      </x:c>
      <x:c r="I39" s="64" t="n">
        <x:v>122000</x:v>
      </x:c>
      <x:c r="J39" s="66" t="n">
        <x:f>I39/10000</x:f>
        <x:v>12.2</x:v>
      </x:c>
      <x:c r="K39" s="68" t="n">
        <x:v>110.1</x:v>
      </x:c>
      <x:c r="L39" s="68" t="n">
        <x:f>IFERROR(K39/3.305785,"")</x:f>
        <x:v>33.30525124894692</x:v>
      </x:c>
      <x:c r="M39" s="68" t="n">
        <x:f>IFERROR(I39/L39,"")</x:f>
        <x:v>3663.0860127157134</x:v>
      </x:c>
      <x:c r="N39" s="68" t="n">
        <x:v>3663.102633969119</x:v>
      </x:c>
      <x:c r="O39" s="64" t="n">
        <x:v>44800</x:v>
      </x:c>
      <x:c r="P39" s="66" t="n">
        <x:f>IFERROR(O39/10000,"")</x:f>
        <x:v>4.48</x:v>
      </x:c>
      <x:c r="Q39" s="66" t="n">
        <x:f>IFERROR((I39-O39)/10000,"")</x:f>
        <x:v>7.72</x:v>
      </x:c>
      <x:c r="R39" s="70" t="n">
        <x:f>IFERROR(I39/O39,"")</x:f>
        <x:v>2.7232142857142856</x:v>
      </x:c>
      <x:c r="S39" s="62"/>
      <x:c r="T39" s="73" t="str">
        <x:v>https://jaegebal.co.kr/develops/4072</x:v>
      </x:c>
    </x:row>
    <x:row r="40">
      <x:c r="A40" s="58" t="str">
        <x:v>신흥3구역</x:v>
      </x:c>
      <x:c r="B40" s="62" t="n">
        <x:v>46176.5</x:v>
      </x:c>
      <x:c r="C40" s="59" t="str">
        <x:v>단독</x:v>
      </x:c>
      <x:c r="D40" s="59" t="str">
        <x:v>신흥동 3485</x:v>
      </x:c>
      <x:c r="E40" s="59" t="str"/>
      <x:c r="F40" s="59"/>
      <x:c r="G40" s="59" t="n">
        <x:v>1989</x:v>
      </x:c>
      <x:c r="H40" s="59" t="str">
        <x:v>다가구</x:v>
      </x:c>
      <x:c r="I40" s="64" t="n">
        <x:v>83000</x:v>
      </x:c>
      <x:c r="J40" s="66" t="n">
        <x:f>I40/10000</x:f>
        <x:v>8.3</x:v>
      </x:c>
      <x:c r="K40" s="68" t="n">
        <x:v>60.5</x:v>
      </x:c>
      <x:c r="L40" s="68" t="n">
        <x:f>IFERROR(K40/3.305785,"")</x:f>
        <x:v>18.3012506862969</x:v>
      </x:c>
      <x:c r="M40" s="68" t="n">
        <x:f>IFERROR(I40/L40,"")</x:f>
        <x:v>4535.20917355372</x:v>
      </x:c>
      <x:c r="N40" s="68" t="n">
        <x:v>4535.229752066116</x:v>
      </x:c>
      <x:c r="O40" s="64" t="n">
        <x:v>25300</x:v>
      </x:c>
      <x:c r="P40" s="66" t="n">
        <x:f>IFERROR(O40/10000,"")</x:f>
        <x:v>2.53</x:v>
      </x:c>
      <x:c r="Q40" s="66" t="n">
        <x:f>IFERROR((I40-O40)/10000,"")</x:f>
        <x:v>5.77</x:v>
      </x:c>
      <x:c r="R40" s="70" t="n">
        <x:f>IFERROR(I40/O40,"")</x:f>
        <x:v>3.280632411067194</x:v>
      </x:c>
      <x:c r="S40" s="62"/>
      <x:c r="T40" s="73" t="str">
        <x:v>https://jaegebal.co.kr/develops/4072</x:v>
      </x:c>
    </x:row>
    <x:row r="41">
      <x:c r="A41" s="58" t="str">
        <x:v>신흥3구역</x:v>
      </x:c>
      <x:c r="B41" s="62" t="n">
        <x:v>46172.5</x:v>
      </x:c>
      <x:c r="C41" s="59" t="str">
        <x:v>단독</x:v>
      </x:c>
      <x:c r="D41" s="59" t="str">
        <x:v>신흥동 2960</x:v>
      </x:c>
      <x:c r="E41" s="59" t="str"/>
      <x:c r="F41" s="59"/>
      <x:c r="G41" s="59" t="n">
        <x:v>1988</x:v>
      </x:c>
      <x:c r="H41" s="59" t="str">
        <x:v>단독</x:v>
      </x:c>
      <x:c r="I41" s="64" t="n">
        <x:v>89800</x:v>
      </x:c>
      <x:c r="J41" s="66" t="n">
        <x:f>I41/10000</x:f>
        <x:v>8.98</x:v>
      </x:c>
      <x:c r="K41" s="68" t="n">
        <x:v>67.1</x:v>
      </x:c>
      <x:c r="L41" s="68" t="n">
        <x:f>IFERROR(K41/3.305785,"")</x:f>
        <x:v>20.297750761165652</x:v>
      </x:c>
      <x:c r="M41" s="68" t="n">
        <x:f>IFERROR(I41/L41,"")</x:f>
        <x:v>4424.135514157973</x:v>
      </x:c>
      <x:c r="N41" s="68" t="n">
        <x:v>4424.155588673621</x:v>
      </x:c>
      <x:c r="O41" s="64" t="n">
        <x:v>27300</x:v>
      </x:c>
      <x:c r="P41" s="66" t="n">
        <x:f>IFERROR(O41/10000,"")</x:f>
        <x:v>2.73</x:v>
      </x:c>
      <x:c r="Q41" s="66" t="n">
        <x:f>IFERROR((I41-O41)/10000,"")</x:f>
        <x:v>6.25</x:v>
      </x:c>
      <x:c r="R41" s="70" t="n">
        <x:f>IFERROR(I41/O41,"")</x:f>
        <x:v>3.2893772893772892</x:v>
      </x:c>
      <x:c r="S41" s="62"/>
      <x:c r="T41" s="73" t="str">
        <x:v>https://jaegebal.co.kr/develops/4072</x:v>
      </x:c>
    </x:row>
    <x:row r="42">
      <x:c r="A42" s="58" t="str">
        <x:v>신흥3구역</x:v>
      </x:c>
      <x:c r="B42" s="62" t="n">
        <x:v>46171.5</x:v>
      </x:c>
      <x:c r="C42" s="59" t="str">
        <x:v>단독</x:v>
      </x:c>
      <x:c r="D42" s="59" t="str">
        <x:v>신흥동 2796-9</x:v>
      </x:c>
      <x:c r="E42" s="59" t="str"/>
      <x:c r="F42" s="59"/>
      <x:c r="G42" s="59" t="n">
        <x:v>1994</x:v>
      </x:c>
      <x:c r="H42" s="59" t="str">
        <x:v>단독</x:v>
      </x:c>
      <x:c r="I42" s="64" t="n">
        <x:v>105000</x:v>
      </x:c>
      <x:c r="J42" s="66" t="n">
        <x:f>I42/10000</x:f>
        <x:v>10.5</x:v>
      </x:c>
      <x:c r="K42" s="68" t="n">
        <x:v>95.9</x:v>
      </x:c>
      <x:c r="L42" s="68" t="n">
        <x:f>IFERROR(K42/3.305785,"")</x:f>
        <x:v>29.009751087865666</x:v>
      </x:c>
      <x:c r="M42" s="68" t="n">
        <x:f>IFERROR(I42/L42,"")</x:f>
        <x:v>3619.472627737226</x:v>
      </x:c>
      <x:c r="N42" s="68" t="n">
        <x:v>3619.4890510948903</x:v>
      </x:c>
      <x:c r="O42" s="64" t="n">
        <x:v>37300</x:v>
      </x:c>
      <x:c r="P42" s="66" t="n">
        <x:f>IFERROR(O42/10000,"")</x:f>
        <x:v>3.73</x:v>
      </x:c>
      <x:c r="Q42" s="66" t="n">
        <x:f>IFERROR((I42-O42)/10000,"")</x:f>
        <x:v>6.77</x:v>
      </x:c>
      <x:c r="R42" s="70" t="n">
        <x:f>IFERROR(I42/O42,"")</x:f>
        <x:v>2.8150134048257374</x:v>
      </x:c>
      <x:c r="S42" s="62"/>
      <x:c r="T42" s="73" t="str">
        <x:v>https://jaegebal.co.kr/develops/4072</x:v>
      </x:c>
    </x:row>
    <x:row r="43">
      <x:c r="A43" s="58" t="str">
        <x:v>신흥3구역</x:v>
      </x:c>
      <x:c r="B43" s="62" t="n">
        <x:v>46170.5</x:v>
      </x:c>
      <x:c r="C43" s="59" t="str">
        <x:v>단독</x:v>
      </x:c>
      <x:c r="D43" s="59" t="str">
        <x:v>신흥동 2902</x:v>
      </x:c>
      <x:c r="E43" s="59" t="str"/>
      <x:c r="F43" s="59"/>
      <x:c r="G43" s="59" t="n">
        <x:v>1990</x:v>
      </x:c>
      <x:c r="H43" s="59" t="str">
        <x:v>단독</x:v>
      </x:c>
      <x:c r="I43" s="64" t="n">
        <x:v>87000</x:v>
      </x:c>
      <x:c r="J43" s="66" t="n">
        <x:f>I43/10000</x:f>
        <x:v>8.7</x:v>
      </x:c>
      <x:c r="K43" s="68" t="n">
        <x:v>67.8</x:v>
      </x:c>
      <x:c r="L43" s="68" t="n">
        <x:f>IFERROR(K43/3.305785,"")</x:f>
        <x:v>20.50950076910628</x:v>
      </x:c>
      <x:c r="M43" s="68" t="n">
        <x:f>IFERROR(I43/L43,"")</x:f>
        <x:v>4241.936504424779</x:v>
      </x:c>
      <x:c r="N43" s="68" t="n">
        <x:v>4241.95575221239</x:v>
      </x:c>
      <x:c r="O43" s="64" t="n">
        <x:v>26400</x:v>
      </x:c>
      <x:c r="P43" s="66" t="n">
        <x:f>IFERROR(O43/10000,"")</x:f>
        <x:v>2.64</x:v>
      </x:c>
      <x:c r="Q43" s="66" t="n">
        <x:f>IFERROR((I43-O43)/10000,"")</x:f>
        <x:v>6.06</x:v>
      </x:c>
      <x:c r="R43" s="70" t="n">
        <x:f>IFERROR(I43/O43,"")</x:f>
        <x:v>3.2954545454545454</x:v>
      </x:c>
      <x:c r="S43" s="62"/>
      <x:c r="T43" s="73" t="str">
        <x:v>https://jaegebal.co.kr/develops/4072</x:v>
      </x:c>
    </x:row>
    <x:row r="44">
      <x:c r="A44" s="58" t="str">
        <x:v>신흥3구역</x:v>
      </x:c>
      <x:c r="B44" s="62" t="n">
        <x:v>46168.5</x:v>
      </x:c>
      <x:c r="C44" s="59" t="str">
        <x:v>단독</x:v>
      </x:c>
      <x:c r="D44" s="59" t="str">
        <x:v>신흥동 3497</x:v>
      </x:c>
      <x:c r="E44" s="59" t="str"/>
      <x:c r="F44" s="59"/>
      <x:c r="G44" s="59" t="n">
        <x:v>1976</x:v>
      </x:c>
      <x:c r="H44" s="59" t="str">
        <x:v>단독</x:v>
      </x:c>
      <x:c r="I44" s="64" t="n">
        <x:v>100000</x:v>
      </x:c>
      <x:c r="J44" s="66" t="n">
        <x:f>I44/10000</x:f>
        <x:v>10</x:v>
      </x:c>
      <x:c r="K44" s="68" t="n">
        <x:v>62.5</x:v>
      </x:c>
      <x:c r="L44" s="68" t="n">
        <x:f>IFERROR(K44/3.305785,"")</x:f>
        <x:v>18.906250708984402</x:v>
      </x:c>
      <x:c r="M44" s="68" t="n">
        <x:f>IFERROR(I44/L44,"")</x:f>
        <x:v>5289.256</x:v>
      </x:c>
      <x:c r="N44" s="68" t="n">
        <x:v>5289.28</x:v>
      </x:c>
      <x:c r="O44" s="64" t="n">
        <x:v>13400</x:v>
      </x:c>
      <x:c r="P44" s="66" t="n">
        <x:f>IFERROR(O44/10000,"")</x:f>
        <x:v>1.34</x:v>
      </x:c>
      <x:c r="Q44" s="66" t="n">
        <x:f>IFERROR((I44-O44)/10000,"")</x:f>
        <x:v>8.66</x:v>
      </x:c>
      <x:c r="R44" s="70" t="n">
        <x:f>IFERROR(I44/O44,"")</x:f>
        <x:v>7.462686567164179</x:v>
      </x:c>
      <x:c r="S44" s="62"/>
      <x:c r="T44" s="73" t="str">
        <x:v>https://jaegebal.co.kr/develops/4072</x:v>
      </x:c>
    </x:row>
    <x:row r="45">
      <x:c r="A45" s="27" t="str">
        <x:v>신흥3구역</x:v>
      </x:c>
      <x:c r="B45" s="63" t="n">
        <x:v>46163.5</x:v>
      </x:c>
      <x:c r="C45" s="28" t="str">
        <x:v>단독</x:v>
      </x:c>
      <x:c r="D45" s="28" t="str">
        <x:v>신흥동 3344</x:v>
      </x:c>
      <x:c r="E45" s="28" t="str"/>
      <x:c r="F45" s="28"/>
      <x:c r="G45" s="28" t="n">
        <x:v>1989</x:v>
      </x:c>
      <x:c r="H45" s="28" t="str">
        <x:v>다가구</x:v>
      </x:c>
      <x:c r="I45" s="31" t="n">
        <x:v>83500</x:v>
      </x:c>
      <x:c r="J45" s="67" t="n">
        <x:f>I45/10000</x:f>
        <x:v>8.35</x:v>
      </x:c>
      <x:c r="K45" s="33" t="n">
        <x:v>66.8</x:v>
      </x:c>
      <x:c r="L45" s="33" t="n">
        <x:f>IFERROR(K45/3.305785,"")</x:f>
        <x:v>20.207000757762525</x:v>
      </x:c>
      <x:c r="M45" s="33" t="n">
        <x:f>IFERROR(I45/L45,"")</x:f>
        <x:v>4132.231250000001</x:v>
      </x:c>
      <x:c r="N45" s="33" t="n">
        <x:v>4132.250000000001</x:v>
      </x:c>
      <x:c r="O45" s="31" t="n">
        <x:v>24900</x:v>
      </x:c>
      <x:c r="P45" s="67" t="n">
        <x:f>IFERROR(O45/10000,"")</x:f>
        <x:v>2.49</x:v>
      </x:c>
      <x:c r="Q45" s="67" t="n">
        <x:f>IFERROR((I45-O45)/10000,"")</x:f>
        <x:v>5.86</x:v>
      </x:c>
      <x:c r="R45" s="71" t="n">
        <x:f>IFERROR(I45/O45,"")</x:f>
        <x:v>3.353413654618474</x:v>
      </x:c>
      <x:c r="S45" s="63"/>
      <x:c r="T45" s="74" t="str">
        <x:v>https://jaegebal.co.kr/develops/4072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16" hidden="0" customWidth="1"/>
    <x:col min="7" max="7" width="16" hidden="0" customWidth="1"/>
    <x:col min="8" max="8" width="28" hidden="0" customWidth="1"/>
    <x:col min="9" max="9" width="36" hidden="0" customWidth="1"/>
    <x:col min="10" max="10" width="26" hidden="0" customWidth="1"/>
  </x:cols>
  <x:sheetData>
    <x:row r="1" ht="30" customHeight="1">
      <x:c r="A1" s="4" t="str">
        <x:v>현 호가 보조 스냅샷 | 재개발닷컴 공개 페이지</x:v>
      </x:c>
      <x:c r="B1" s="4" t="str">
        <x:v>현 호가 보조 스냅샷 | 재개발닷컴 공개 페이지</x:v>
      </x:c>
      <x:c r="C1" s="4" t="str">
        <x:v>현 호가 보조 스냅샷 | 재개발닷컴 공개 페이지</x:v>
      </x:c>
      <x:c r="D1" s="4" t="str">
        <x:v>현 호가 보조 스냅샷 | 재개발닷컴 공개 페이지</x:v>
      </x:c>
      <x:c r="E1" s="4" t="str">
        <x:v>현 호가 보조 스냅샷 | 재개발닷컴 공개 페이지</x:v>
      </x:c>
      <x:c r="F1" s="4" t="str">
        <x:v>현 호가 보조 스냅샷 | 재개발닷컴 공개 페이지</x:v>
      </x:c>
      <x:c r="G1" s="4" t="str">
        <x:v>현 호가 보조 스냅샷 | 재개발닷컴 공개 페이지</x:v>
      </x:c>
      <x:c r="H1" s="4" t="str">
        <x:v>현 호가 보조 스냅샷 | 재개발닷컴 공개 페이지</x:v>
      </x:c>
      <x:c r="I1" s="4" t="str">
        <x:v>현 호가 보조 스냅샷 | 재개발닷컴 공개 페이지</x:v>
      </x:c>
      <x:c r="J1" s="4" t="str">
        <x:v>현 호가 보조 스냅샷 | 재개발닷컴 공개 페이지</x:v>
      </x:c>
    </x:row>
    <x:row r="2" ht="34" customHeight="1">
      <x:c r="A2" s="8" t="str">
        <x:v>2026-09-02 조회. 공개 호가 원자료에는 대지면적·공시가격이 비공개(-1)인 행이 많아 대지평당 호가와 실제 재개발 프리미엄은 계산하지 않았습니다. 네이버부동산 현행 지도는 참고용으로만 확인했습니다.</x:v>
      </x:c>
      <x:c r="B2" s="8" t="str">
        <x:v>2026-09-02 조회. 공개 호가 원자료에는 대지면적·공시가격이 비공개(-1)인 행이 많아 대지평당 호가와 실제 재개발 프리미엄은 계산하지 않았습니다. 네이버부동산 현행 지도는 참고용으로만 확인했습니다.</x:v>
      </x:c>
      <x:c r="C2" s="8" t="str">
        <x:v>2026-09-02 조회. 공개 호가 원자료에는 대지면적·공시가격이 비공개(-1)인 행이 많아 대지평당 호가와 실제 재개발 프리미엄은 계산하지 않았습니다. 네이버부동산 현행 지도는 참고용으로만 확인했습니다.</x:v>
      </x:c>
      <x:c r="D2" s="8" t="str">
        <x:v>2026-09-02 조회. 공개 호가 원자료에는 대지면적·공시가격이 비공개(-1)인 행이 많아 대지평당 호가와 실제 재개발 프리미엄은 계산하지 않았습니다. 네이버부동산 현행 지도는 참고용으로만 확인했습니다.</x:v>
      </x:c>
      <x:c r="E2" s="8" t="str">
        <x:v>2026-09-02 조회. 공개 호가 원자료에는 대지면적·공시가격이 비공개(-1)인 행이 많아 대지평당 호가와 실제 재개발 프리미엄은 계산하지 않았습니다. 네이버부동산 현행 지도는 참고용으로만 확인했습니다.</x:v>
      </x:c>
      <x:c r="F2" s="8" t="str">
        <x:v>2026-09-02 조회. 공개 호가 원자료에는 대지면적·공시가격이 비공개(-1)인 행이 많아 대지평당 호가와 실제 재개발 프리미엄은 계산하지 않았습니다. 네이버부동산 현행 지도는 참고용으로만 확인했습니다.</x:v>
      </x:c>
      <x:c r="G2" s="8" t="str">
        <x:v>2026-09-02 조회. 공개 호가 원자료에는 대지면적·공시가격이 비공개(-1)인 행이 많아 대지평당 호가와 실제 재개발 프리미엄은 계산하지 않았습니다. 네이버부동산 현행 지도는 참고용으로만 확인했습니다.</x:v>
      </x:c>
      <x:c r="H2" s="8" t="str">
        <x:v>2026-09-02 조회. 공개 호가 원자료에는 대지면적·공시가격이 비공개(-1)인 행이 많아 대지평당 호가와 실제 재개발 프리미엄은 계산하지 않았습니다. 네이버부동산 현행 지도는 참고용으로만 확인했습니다.</x:v>
      </x:c>
      <x:c r="I2" s="8" t="str">
        <x:v>2026-09-02 조회. 공개 호가 원자료에는 대지면적·공시가격이 비공개(-1)인 행이 많아 대지평당 호가와 실제 재개발 프리미엄은 계산하지 않았습니다. 네이버부동산 현행 지도는 참고용으로만 확인했습니다.</x:v>
      </x:c>
      <x:c r="J2" s="8" t="str">
        <x:v>2026-09-02 조회. 공개 호가 원자료에는 대지면적·공시가격이 비공개(-1)인 행이 많아 대지평당 호가와 실제 재개발 프리미엄은 계산하지 않았습니다. 네이버부동산 현행 지도는 참고용으로만 확인했습니다.</x:v>
      </x:c>
    </x:row>
    <x:row r="5" ht="30" customHeight="1">
      <x:c r="A5" s="17" t="str">
        <x:v>구역</x:v>
      </x:c>
      <x:c r="B5" s="17" t="str">
        <x:v>공개 호가 수</x:v>
      </x:c>
      <x:c r="C5" s="17" t="str">
        <x:v>최저 호가
(억원)</x:v>
      </x:c>
      <x:c r="D5" s="17" t="str">
        <x:v>중앙 호가
(억원)</x:v>
      </x:c>
      <x:c r="E5" s="17" t="str">
        <x:v>최고 호가
(억원)</x:v>
      </x:c>
      <x:c r="F5" s="17" t="str">
        <x:v>대지면적 공개</x:v>
      </x:c>
      <x:c r="G5" s="17" t="str">
        <x:v>대지평당 호가</x:v>
      </x:c>
      <x:c r="H5" s="17" t="str">
        <x:v>실거래와의 비교</x:v>
      </x:c>
      <x:c r="I5" s="17" t="str">
        <x:v>출처</x:v>
      </x:c>
      <x:c r="J5" s="17" t="str">
        <x:v>해석</x:v>
      </x:c>
    </x:row>
    <x:row r="6">
      <x:c r="A6" s="24" t="str">
        <x:v>신흥1구역</x:v>
      </x:c>
      <x:c r="B6" s="30" t="n">
        <x:f>COUNT('현호가_원자료'!$D$6:$D$82)</x:f>
        <x:v>77</x:v>
      </x:c>
      <x:c r="C6" s="65" t="n">
        <x:f>MIN('현호가_원자료'!$E$6:$E$82)</x:f>
        <x:v>8</x:v>
      </x:c>
      <x:c r="D6" s="65" t="n">
        <x:f>MEDIAN('현호가_원자료'!$E$6:$E$82)</x:f>
        <x:v>10</x:v>
      </x:c>
      <x:c r="E6" s="65" t="n">
        <x:f>MAX('현호가_원자료'!$E$6:$E$82)</x:f>
        <x:v>16</x:v>
      </x:c>
      <x:c r="F6" s="25" t="str">
        <x:v>대부분 비공개</x:v>
      </x:c>
      <x:c r="G6" s="25" t="str">
        <x:v>산출 제외</x:v>
      </x:c>
      <x:c r="H6" s="25" t="str">
        <x:v>유형·임차조건 통일 후 개별 비교</x:v>
      </x:c>
      <x:c r="I6" s="75" t="str">
        <x:v>https://jaegebal.co.kr/develops/4027/asks</x:v>
      </x:c>
      <x:c r="J6" s="26" t="str">
        <x:v>호가는 거래 성사 가격이 아님</x:v>
      </x:c>
    </x:row>
    <x:row r="7">
      <x:c r="A7" s="27" t="str">
        <x:v>신흥3구역</x:v>
      </x:c>
      <x:c r="B7" s="31" t="n">
        <x:f>COUNT('현호가_원자료'!$D$83:$D$102)</x:f>
        <x:v>20</x:v>
      </x:c>
      <x:c r="C7" s="67" t="n">
        <x:f>MIN('현호가_원자료'!$E$83:$E$102)</x:f>
        <x:v>4.9</x:v>
      </x:c>
      <x:c r="D7" s="67" t="n">
        <x:f>MEDIAN('현호가_원자료'!$E$83:$E$102)</x:f>
        <x:v>9.9</x:v>
      </x:c>
      <x:c r="E7" s="67" t="n">
        <x:f>MAX('현호가_원자료'!$E$83:$E$102)</x:f>
        <x:v>17.5</x:v>
      </x:c>
      <x:c r="F7" s="28" t="str">
        <x:v>대부분 비공개</x:v>
      </x:c>
      <x:c r="G7" s="28" t="str">
        <x:v>산출 제외</x:v>
      </x:c>
      <x:c r="H7" s="28" t="str">
        <x:v>유형·임차조건 통일 후 개별 비교</x:v>
      </x:c>
      <x:c r="I7" s="76" t="str">
        <x:v>https://jaegebal.co.kr/develops/4072/asks</x:v>
      </x:c>
      <x:c r="J7" s="29" t="str">
        <x:v>호가는 거래 성사 가격이 아님</x:v>
      </x:c>
    </x:row>
    <x:row r="10" ht="22" customHeight="1">
      <x:c r="A10" s="11" t="str">
        <x:v>네이버부동산 확인 범위와 한계</x:v>
      </x:c>
      <x:c r="B10" s="11" t="str">
        <x:v>네이버부동산 확인 범위와 한계</x:v>
      </x:c>
      <x:c r="C10" s="11" t="str">
        <x:v>네이버부동산 확인 범위와 한계</x:v>
      </x:c>
      <x:c r="D10" s="11" t="str">
        <x:v>네이버부동산 확인 범위와 한계</x:v>
      </x:c>
      <x:c r="E10" s="11" t="str">
        <x:v>네이버부동산 확인 범위와 한계</x:v>
      </x:c>
      <x:c r="F10" s="11" t="str">
        <x:v>네이버부동산 확인 범위와 한계</x:v>
      </x:c>
      <x:c r="G10" s="11" t="str">
        <x:v>네이버부동산 확인 범위와 한계</x:v>
      </x:c>
      <x:c r="H10" s="11" t="str">
        <x:v>네이버부동산 확인 범위와 한계</x:v>
      </x:c>
      <x:c r="I10" s="11" t="str">
        <x:v>네이버부동산 확인 범위와 한계</x:v>
      </x:c>
      <x:c r="J10" s="11" t="str">
        <x:v>네이버부동산 확인 범위와 한계</x:v>
      </x:c>
    </x:row>
    <x:row r="11" ht="40" customHeight="1">
      <x:c r="A11" s="37" t="str">
        <x:v>항목</x:v>
      </x:c>
      <x:c r="B11" s="37" t="str">
        <x:v>확인 결과</x:v>
      </x:c>
      <x:c r="C11" s="37" t="str">
        <x:v>워크북 반영</x:v>
      </x:c>
      <x:c r="D11" s="37"/>
      <x:c r="E11" s="37"/>
      <x:c r="F11" s="37"/>
      <x:c r="G11" s="37"/>
      <x:c r="H11" s="37"/>
      <x:c r="I11" s="37"/>
      <x:c r="J11" s="37"/>
    </x:row>
    <x:row r="12" ht="40" customHeight="1">
      <x:c r="A12" s="38" t="str">
        <x:v>현행 지도 필터</x:v>
      </x:c>
      <x:c r="B12" s="38" t="str">
        <x:v>성남시 수정구 신흥동 · 재개발(F01) · 매매/전세/월세/단기임대</x:v>
      </x:c>
      <x:c r="C12" s="38" t="str">
        <x:v>출처_방법에 지도 URL 기록</x:v>
      </x:c>
      <x:c r="D12" s="38"/>
      <x:c r="E12" s="38"/>
      <x:c r="F12" s="38"/>
      <x:c r="G12" s="38"/>
      <x:c r="H12" s="38"/>
      <x:c r="I12" s="38"/>
      <x:c r="J12" s="38"/>
    </x:row>
    <x:row r="13" ht="40" customHeight="1">
      <x:c r="A13" s="38" t="str">
        <x:v>구역별 실시간 개별 매물</x:v>
      </x:c>
      <x:c r="B13" s="38" t="str">
        <x:v>동적 지도에서 구역 경계·대지지분을 일괄 식별할 수 없음</x:v>
      </x:c>
      <x:c r="C13" s="38" t="str">
        <x:v>현재 네이버 호가를 신흥1·3별 대지평당가로 산출하지 않음</x:v>
      </x:c>
      <x:c r="D13" s="38"/>
      <x:c r="E13" s="38"/>
      <x:c r="F13" s="38"/>
      <x:c r="G13" s="38"/>
      <x:c r="H13" s="38"/>
      <x:c r="I13" s="38"/>
      <x:c r="J13" s="38"/>
    </x:row>
    <x:row r="14" ht="40" customHeight="1">
      <x:c r="A14" s="38" t="str">
        <x:v>개별 확인 이력</x:v>
      </x:c>
      <x:c r="B14" s="38" t="str">
        <x:v>신흥1 1건, 신흥3 4건의 구역명 명시 매물을 2025년 확인</x:v>
      </x:c>
      <x:c r="C14" s="38" t="str">
        <x:v>네이버_확인이력에 과거 확인일과 원문 URL 기록</x:v>
      </x:c>
      <x:c r="D14" s="38"/>
      <x:c r="E14" s="38"/>
      <x:c r="F14" s="38"/>
      <x:c r="G14" s="38"/>
      <x:c r="H14" s="38"/>
      <x:c r="I14" s="38"/>
      <x:c r="J14" s="38"/>
    </x:row>
  </x:sheetData>
  <x:mergeCells>
    <x:mergeCell ref="A1:J1"/>
    <x:mergeCell ref="A2:J2"/>
    <x:mergeCell ref="A10:J10"/>
    <x:mergeCell ref="C11:J11"/>
    <x:mergeCell ref="C12:J12"/>
    <x:mergeCell ref="C13:J13"/>
    <x:mergeCell ref="C14:J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4" hidden="0" customWidth="1"/>
    <x:col min="4" max="4" width="13" hidden="0" customWidth="1"/>
    <x:col min="5" max="5" width="11" hidden="0" customWidth="1"/>
    <x:col min="6" max="6" width="16" hidden="0" customWidth="1"/>
    <x:col min="7" max="7" width="16" hidden="0" customWidth="1"/>
    <x:col min="8" max="8" width="8" hidden="0" customWidth="1"/>
    <x:col min="9" max="9" width="12" hidden="0" customWidth="1"/>
    <x:col min="10" max="10" width="9" hidden="0" customWidth="1"/>
    <x:col min="11" max="11" width="12" hidden="0" customWidth="1"/>
    <x:col min="12" max="12" width="14" hidden="0" customWidth="1"/>
  </x:cols>
  <x:sheetData>
    <x:row r="1" ht="30" customHeight="1">
      <x:c r="A1" s="4" t="str">
        <x:v>현 호가 공개 원자료 | 보조 지표</x:v>
      </x:c>
      <x:c r="B1" s="4" t="str">
        <x:v>현 호가 공개 원자료 | 보조 지표</x:v>
      </x:c>
      <x:c r="C1" s="4" t="str">
        <x:v>현 호가 공개 원자료 | 보조 지표</x:v>
      </x:c>
      <x:c r="D1" s="4" t="str">
        <x:v>현 호가 공개 원자료 | 보조 지표</x:v>
      </x:c>
      <x:c r="E1" s="4" t="str">
        <x:v>현 호가 공개 원자료 | 보조 지표</x:v>
      </x:c>
      <x:c r="F1" s="4" t="str">
        <x:v>현 호가 공개 원자료 | 보조 지표</x:v>
      </x:c>
      <x:c r="G1" s="4" t="str">
        <x:v>현 호가 공개 원자료 | 보조 지표</x:v>
      </x:c>
      <x:c r="H1" s="4" t="str">
        <x:v>현 호가 공개 원자료 | 보조 지표</x:v>
      </x:c>
      <x:c r="I1" s="4" t="str">
        <x:v>현 호가 공개 원자료 | 보조 지표</x:v>
      </x:c>
      <x:c r="J1" s="4" t="str">
        <x:v>현 호가 공개 원자료 | 보조 지표</x:v>
      </x:c>
      <x:c r="K1" s="4" t="str">
        <x:v>현 호가 공개 원자료 | 보조 지표</x:v>
      </x:c>
      <x:c r="L1" s="4" t="str">
        <x:v>현 호가 공개 원자료 | 보조 지표</x:v>
      </x:c>
    </x:row>
    <x:row r="2" ht="34" customHeight="1">
      <x:c r="A2" s="8" t="str">
        <x:v>공개 웹 페이지에 표시된 호가를 스냅샷으로 정리했습니다. 원자료의 대지면적·공시가격이 비공개(-1)이면 빈칸으로 처리했습니다. 호가=계약가가 아니며, 네이버부동산 자료가 아닙니다.</x:v>
      </x:c>
      <x:c r="B2" s="8" t="str">
        <x:v>공개 웹 페이지에 표시된 호가를 스냅샷으로 정리했습니다. 원자료의 대지면적·공시가격이 비공개(-1)이면 빈칸으로 처리했습니다. 호가=계약가가 아니며, 네이버부동산 자료가 아닙니다.</x:v>
      </x:c>
      <x:c r="C2" s="8" t="str">
        <x:v>공개 웹 페이지에 표시된 호가를 스냅샷으로 정리했습니다. 원자료의 대지면적·공시가격이 비공개(-1)이면 빈칸으로 처리했습니다. 호가=계약가가 아니며, 네이버부동산 자료가 아닙니다.</x:v>
      </x:c>
      <x:c r="D2" s="8" t="str">
        <x:v>공개 웹 페이지에 표시된 호가를 스냅샷으로 정리했습니다. 원자료의 대지면적·공시가격이 비공개(-1)이면 빈칸으로 처리했습니다. 호가=계약가가 아니며, 네이버부동산 자료가 아닙니다.</x:v>
      </x:c>
      <x:c r="E2" s="8" t="str">
        <x:v>공개 웹 페이지에 표시된 호가를 스냅샷으로 정리했습니다. 원자료의 대지면적·공시가격이 비공개(-1)이면 빈칸으로 처리했습니다. 호가=계약가가 아니며, 네이버부동산 자료가 아닙니다.</x:v>
      </x:c>
      <x:c r="F2" s="8" t="str">
        <x:v>공개 웹 페이지에 표시된 호가를 스냅샷으로 정리했습니다. 원자료의 대지면적·공시가격이 비공개(-1)이면 빈칸으로 처리했습니다. 호가=계약가가 아니며, 네이버부동산 자료가 아닙니다.</x:v>
      </x:c>
      <x:c r="G2" s="8" t="str">
        <x:v>공개 웹 페이지에 표시된 호가를 스냅샷으로 정리했습니다. 원자료의 대지면적·공시가격이 비공개(-1)이면 빈칸으로 처리했습니다. 호가=계약가가 아니며, 네이버부동산 자료가 아닙니다.</x:v>
      </x:c>
      <x:c r="H2" s="8" t="str">
        <x:v>공개 웹 페이지에 표시된 호가를 스냅샷으로 정리했습니다. 원자료의 대지면적·공시가격이 비공개(-1)이면 빈칸으로 처리했습니다. 호가=계약가가 아니며, 네이버부동산 자료가 아닙니다.</x:v>
      </x:c>
      <x:c r="I2" s="8" t="str">
        <x:v>공개 웹 페이지에 표시된 호가를 스냅샷으로 정리했습니다. 원자료의 대지면적·공시가격이 비공개(-1)이면 빈칸으로 처리했습니다. 호가=계약가가 아니며, 네이버부동산 자료가 아닙니다.</x:v>
      </x:c>
      <x:c r="J2" s="8" t="str">
        <x:v>공개 웹 페이지에 표시된 호가를 스냅샷으로 정리했습니다. 원자료의 대지면적·공시가격이 비공개(-1)이면 빈칸으로 처리했습니다. 호가=계약가가 아니며, 네이버부동산 자료가 아닙니다.</x:v>
      </x:c>
      <x:c r="K2" s="8" t="str">
        <x:v>공개 웹 페이지에 표시된 호가를 스냅샷으로 정리했습니다. 원자료의 대지면적·공시가격이 비공개(-1)이면 빈칸으로 처리했습니다. 호가=계약가가 아니며, 네이버부동산 자료가 아닙니다.</x:v>
      </x:c>
      <x:c r="L2" s="8" t="str">
        <x:v>공개 웹 페이지에 표시된 호가를 스냅샷으로 정리했습니다. 원자료의 대지면적·공시가격이 비공개(-1)이면 빈칸으로 처리했습니다. 호가=계약가가 아니며, 네이버부동산 자료가 아닙니다.</x:v>
      </x:c>
    </x:row>
    <x:row r="5" ht="30" customHeight="1">
      <x:c r="A5" s="17" t="str">
        <x:v>구역</x:v>
      </x:c>
      <x:c r="B5" s="17" t="str">
        <x:v>매물 ID</x:v>
      </x:c>
      <x:c r="C5" s="17" t="str">
        <x:v>유형</x:v>
      </x:c>
      <x:c r="D5" s="17" t="str">
        <x:v>호가
(만원)</x:v>
      </x:c>
      <x:c r="E5" s="17" t="str">
        <x:v>호가
(억원)</x:v>
      </x:c>
      <x:c r="F5" s="17" t="str">
        <x:v>주소</x:v>
      </x:c>
      <x:c r="G5" s="17" t="str">
        <x:v>동/건물</x:v>
      </x:c>
      <x:c r="H5" s="17" t="str">
        <x:v>층</x:v>
      </x:c>
      <x:c r="I5" s="17" t="str">
        <x:v>연면적
(㎡)</x:v>
      </x:c>
      <x:c r="J5" s="17" t="str">
        <x:v>준공</x:v>
      </x:c>
      <x:c r="K5" s="17" t="str">
        <x:v>대지면적
(㎡)</x:v>
      </x:c>
      <x:c r="L5" s="17" t="str">
        <x:v>공시가격
(만원)</x:v>
      </x:c>
    </x:row>
    <x:row r="6">
      <x:c r="A6" s="24" t="str">
        <x:v>신흥1구역</x:v>
      </x:c>
      <x:c r="B6" s="25" t="n">
        <x:v>3873596</x:v>
      </x:c>
      <x:c r="C6" s="25" t="str">
        <x:v>공개값 미표기</x:v>
      </x:c>
      <x:c r="D6" s="30" t="n">
        <x:v>160000</x:v>
      </x:c>
      <x:c r="E6" s="65" t="n">
        <x:f>D6/10000</x:f>
        <x:v>16</x:v>
      </x:c>
      <x:c r="F6" s="25" t="str">
        <x:v>신흥동 5922</x:v>
      </x:c>
      <x:c r="G6" s="25" t="str"/>
      <x:c r="H6" s="25"/>
      <x:c r="I6" s="32" t="n">
        <x:v>427.14</x:v>
      </x:c>
      <x:c r="J6" s="32"/>
      <x:c r="K6" s="32"/>
      <x:c r="L6" s="77"/>
    </x:row>
    <x:row r="7">
      <x:c r="A7" s="58" t="str">
        <x:v>신흥1구역</x:v>
      </x:c>
      <x:c r="B7" s="59" t="n">
        <x:v>4146545</x:v>
      </x:c>
      <x:c r="C7" s="59" t="str">
        <x:v>공개값 미표기</x:v>
      </x:c>
      <x:c r="D7" s="64" t="n">
        <x:v>150000</x:v>
      </x:c>
      <x:c r="E7" s="66" t="n">
        <x:f>D7/10000</x:f>
        <x:v>15</x:v>
      </x:c>
      <x:c r="F7" s="59" t="str">
        <x:v>신흥동 4272</x:v>
      </x:c>
      <x:c r="G7" s="59" t="str"/>
      <x:c r="H7" s="59"/>
      <x:c r="I7" s="68" t="n">
        <x:v>242.63</x:v>
      </x:c>
      <x:c r="J7" s="68"/>
      <x:c r="K7" s="68"/>
      <x:c r="L7" s="78"/>
    </x:row>
    <x:row r="8">
      <x:c r="A8" s="58" t="str">
        <x:v>신흥1구역</x:v>
      </x:c>
      <x:c r="B8" s="59" t="n">
        <x:v>3592838</x:v>
      </x:c>
      <x:c r="C8" s="59" t="str">
        <x:v>공개값 미표기</x:v>
      </x:c>
      <x:c r="D8" s="64" t="n">
        <x:v>148000</x:v>
      </x:c>
      <x:c r="E8" s="66" t="n">
        <x:f>D8/10000</x:f>
        <x:v>14.8</x:v>
      </x:c>
      <x:c r="F8" s="59" t="str">
        <x:v>신흥동 5995</x:v>
      </x:c>
      <x:c r="G8" s="59" t="str"/>
      <x:c r="H8" s="59"/>
      <x:c r="I8" s="68" t="n">
        <x:v>105.34</x:v>
      </x:c>
      <x:c r="J8" s="68"/>
      <x:c r="K8" s="68"/>
      <x:c r="L8" s="78"/>
    </x:row>
    <x:row r="9">
      <x:c r="A9" s="58" t="str">
        <x:v>신흥1구역</x:v>
      </x:c>
      <x:c r="B9" s="59" t="n">
        <x:v>4368524</x:v>
      </x:c>
      <x:c r="C9" s="59" t="str">
        <x:v>공개값 미표기</x:v>
      </x:c>
      <x:c r="D9" s="64" t="n">
        <x:v>130000</x:v>
      </x:c>
      <x:c r="E9" s="66" t="n">
        <x:f>D9/10000</x:f>
        <x:v>13</x:v>
      </x:c>
      <x:c r="F9" s="59" t="str">
        <x:v>신흥동 6930-1</x:v>
      </x:c>
      <x:c r="G9" s="59" t="str"/>
      <x:c r="H9" s="59" t="n">
        <x:v>0</x:v>
      </x:c>
      <x:c r="I9" s="68" t="n">
        <x:v>176.13</x:v>
      </x:c>
      <x:c r="J9" s="68"/>
      <x:c r="K9" s="68"/>
      <x:c r="L9" s="78"/>
    </x:row>
    <x:row r="10">
      <x:c r="A10" s="58" t="str">
        <x:v>신흥1구역</x:v>
      </x:c>
      <x:c r="B10" s="59" t="n">
        <x:v>4193675</x:v>
      </x:c>
      <x:c r="C10" s="59" t="str">
        <x:v>공개값 미표기</x:v>
      </x:c>
      <x:c r="D10" s="64" t="n">
        <x:v>130000</x:v>
      </x:c>
      <x:c r="E10" s="66" t="n">
        <x:f>D10/10000</x:f>
        <x:v>13</x:v>
      </x:c>
      <x:c r="F10" s="59" t="str">
        <x:v>신흥동 6019</x:v>
      </x:c>
      <x:c r="G10" s="59" t="str"/>
      <x:c r="H10" s="59" t="n">
        <x:v>0</x:v>
      </x:c>
      <x:c r="I10" s="68" t="n">
        <x:v>87.9</x:v>
      </x:c>
      <x:c r="J10" s="68"/>
      <x:c r="K10" s="68"/>
      <x:c r="L10" s="78"/>
    </x:row>
    <x:row r="11">
      <x:c r="A11" s="58" t="str">
        <x:v>신흥1구역</x:v>
      </x:c>
      <x:c r="B11" s="59" t="n">
        <x:v>4146543</x:v>
      </x:c>
      <x:c r="C11" s="59" t="str">
        <x:v>공개값 미표기</x:v>
      </x:c>
      <x:c r="D11" s="64" t="n">
        <x:v>130000</x:v>
      </x:c>
      <x:c r="E11" s="66" t="n">
        <x:f>D11/10000</x:f>
        <x:v>13</x:v>
      </x:c>
      <x:c r="F11" s="59" t="str">
        <x:v>신흥동 5814</x:v>
      </x:c>
      <x:c r="G11" s="59" t="str"/>
      <x:c r="H11" s="59"/>
      <x:c r="I11" s="68" t="n">
        <x:v>155.68</x:v>
      </x:c>
      <x:c r="J11" s="68"/>
      <x:c r="K11" s="68"/>
      <x:c r="L11" s="78"/>
    </x:row>
    <x:row r="12">
      <x:c r="A12" s="58" t="str">
        <x:v>신흥1구역</x:v>
      </x:c>
      <x:c r="B12" s="59" t="n">
        <x:v>4193642</x:v>
      </x:c>
      <x:c r="C12" s="59" t="str">
        <x:v>공개값 미표기</x:v>
      </x:c>
      <x:c r="D12" s="64" t="n">
        <x:v>130000</x:v>
      </x:c>
      <x:c r="E12" s="66" t="n">
        <x:f>D12/10000</x:f>
        <x:v>13</x:v>
      </x:c>
      <x:c r="F12" s="59" t="str">
        <x:v>신흥동 4677-2</x:v>
      </x:c>
      <x:c r="G12" s="59" t="str"/>
      <x:c r="H12" s="59"/>
      <x:c r="I12" s="68" t="n">
        <x:v>157.58</x:v>
      </x:c>
      <x:c r="J12" s="68"/>
      <x:c r="K12" s="68"/>
      <x:c r="L12" s="78"/>
    </x:row>
    <x:row r="13">
      <x:c r="A13" s="58" t="str">
        <x:v>신흥1구역</x:v>
      </x:c>
      <x:c r="B13" s="59" t="n">
        <x:v>4047222</x:v>
      </x:c>
      <x:c r="C13" s="59" t="str">
        <x:v>공개값 미표기</x:v>
      </x:c>
      <x:c r="D13" s="64" t="n">
        <x:v>130000</x:v>
      </x:c>
      <x:c r="E13" s="66" t="n">
        <x:f>D13/10000</x:f>
        <x:v>13</x:v>
      </x:c>
      <x:c r="F13" s="59" t="str">
        <x:v>신흥동 6884</x:v>
      </x:c>
      <x:c r="G13" s="59" t="str"/>
      <x:c r="H13" s="59"/>
      <x:c r="I13" s="68" t="n">
        <x:v>259.51</x:v>
      </x:c>
      <x:c r="J13" s="68"/>
      <x:c r="K13" s="68"/>
      <x:c r="L13" s="78"/>
    </x:row>
    <x:row r="14">
      <x:c r="A14" s="58" t="str">
        <x:v>신흥1구역</x:v>
      </x:c>
      <x:c r="B14" s="59" t="n">
        <x:v>4279701</x:v>
      </x:c>
      <x:c r="C14" s="59" t="str">
        <x:v>공개값 미표기</x:v>
      </x:c>
      <x:c r="D14" s="64" t="n">
        <x:v>125000</x:v>
      </x:c>
      <x:c r="E14" s="66" t="n">
        <x:f>D14/10000</x:f>
        <x:v>12.5</x:v>
      </x:c>
      <x:c r="F14" s="59" t="str">
        <x:v>신흥동 5351-1</x:v>
      </x:c>
      <x:c r="G14" s="59" t="str"/>
      <x:c r="H14" s="59"/>
      <x:c r="I14" s="68" t="n">
        <x:v>122.72</x:v>
      </x:c>
      <x:c r="J14" s="68"/>
      <x:c r="K14" s="68"/>
      <x:c r="L14" s="78"/>
    </x:row>
    <x:row r="15">
      <x:c r="A15" s="58" t="str">
        <x:v>신흥1구역</x:v>
      </x:c>
      <x:c r="B15" s="59" t="n">
        <x:v>4547073</x:v>
      </x:c>
      <x:c r="C15" s="59" t="str">
        <x:v>공개값 미표기</x:v>
      </x:c>
      <x:c r="D15" s="64" t="n">
        <x:v>120000</x:v>
      </x:c>
      <x:c r="E15" s="66" t="n">
        <x:f>D15/10000</x:f>
        <x:v>12</x:v>
      </x:c>
      <x:c r="F15" s="59" t="str">
        <x:v>신흥동 4698</x:v>
      </x:c>
      <x:c r="G15" s="59" t="str"/>
      <x:c r="H15" s="59"/>
      <x:c r="I15" s="68" t="n">
        <x:v>180.83</x:v>
      </x:c>
      <x:c r="J15" s="68"/>
      <x:c r="K15" s="68"/>
      <x:c r="L15" s="78"/>
    </x:row>
    <x:row r="16">
      <x:c r="A16" s="58" t="str">
        <x:v>신흥1구역</x:v>
      </x:c>
      <x:c r="B16" s="59" t="n">
        <x:v>4499638</x:v>
      </x:c>
      <x:c r="C16" s="59" t="str">
        <x:v>공개값 미표기</x:v>
      </x:c>
      <x:c r="D16" s="64" t="n">
        <x:v>120000</x:v>
      </x:c>
      <x:c r="E16" s="66" t="n">
        <x:f>D16/10000</x:f>
        <x:v>12</x:v>
      </x:c>
      <x:c r="F16" s="59" t="str">
        <x:v>신흥동 5697</x:v>
      </x:c>
      <x:c r="G16" s="59" t="str"/>
      <x:c r="H16" s="59"/>
      <x:c r="I16" s="68" t="n">
        <x:v>205.69</x:v>
      </x:c>
      <x:c r="J16" s="68"/>
      <x:c r="K16" s="68"/>
      <x:c r="L16" s="78"/>
    </x:row>
    <x:row r="17">
      <x:c r="A17" s="58" t="str">
        <x:v>신흥1구역</x:v>
      </x:c>
      <x:c r="B17" s="59" t="n">
        <x:v>4410479</x:v>
      </x:c>
      <x:c r="C17" s="59" t="str">
        <x:v>공개값 미표기</x:v>
      </x:c>
      <x:c r="D17" s="64" t="n">
        <x:v>118000</x:v>
      </x:c>
      <x:c r="E17" s="66" t="n">
        <x:f>D17/10000</x:f>
        <x:v>11.8</x:v>
      </x:c>
      <x:c r="F17" s="59" t="str">
        <x:v>신흥동 4319</x:v>
      </x:c>
      <x:c r="G17" s="59" t="str"/>
      <x:c r="H17" s="59"/>
      <x:c r="I17" s="68" t="n">
        <x:v>206.72</x:v>
      </x:c>
      <x:c r="J17" s="68"/>
      <x:c r="K17" s="68"/>
      <x:c r="L17" s="78"/>
    </x:row>
    <x:row r="18">
      <x:c r="A18" s="58" t="str">
        <x:v>신흥1구역</x:v>
      </x:c>
      <x:c r="B18" s="59" t="n">
        <x:v>3659597</x:v>
      </x:c>
      <x:c r="C18" s="59" t="str">
        <x:v>공개값 미표기</x:v>
      </x:c>
      <x:c r="D18" s="64" t="n">
        <x:v>115000</x:v>
      </x:c>
      <x:c r="E18" s="66" t="n">
        <x:f>D18/10000</x:f>
        <x:v>11.5</x:v>
      </x:c>
      <x:c r="F18" s="59" t="str">
        <x:v>신흥동 6215</x:v>
      </x:c>
      <x:c r="G18" s="59" t="str"/>
      <x:c r="H18" s="59"/>
      <x:c r="I18" s="68" t="n">
        <x:v>177.96</x:v>
      </x:c>
      <x:c r="J18" s="68"/>
      <x:c r="K18" s="68"/>
      <x:c r="L18" s="78"/>
    </x:row>
    <x:row r="19">
      <x:c r="A19" s="58" t="str">
        <x:v>신흥1구역</x:v>
      </x:c>
      <x:c r="B19" s="59" t="n">
        <x:v>3556449</x:v>
      </x:c>
      <x:c r="C19" s="59" t="str">
        <x:v>공개값 미표기</x:v>
      </x:c>
      <x:c r="D19" s="64" t="n">
        <x:v>115000</x:v>
      </x:c>
      <x:c r="E19" s="66" t="n">
        <x:f>D19/10000</x:f>
        <x:v>11.5</x:v>
      </x:c>
      <x:c r="F19" s="59" t="str">
        <x:v>신흥동 6375</x:v>
      </x:c>
      <x:c r="G19" s="59" t="str"/>
      <x:c r="H19" s="59"/>
      <x:c r="I19" s="68" t="n">
        <x:v>193.68</x:v>
      </x:c>
      <x:c r="J19" s="68"/>
      <x:c r="K19" s="68"/>
      <x:c r="L19" s="78"/>
    </x:row>
    <x:row r="20">
      <x:c r="A20" s="58" t="str">
        <x:v>신흥1구역</x:v>
      </x:c>
      <x:c r="B20" s="59" t="n">
        <x:v>4193637</x:v>
      </x:c>
      <x:c r="C20" s="59" t="str">
        <x:v>공개값 미표기</x:v>
      </x:c>
      <x:c r="D20" s="64" t="n">
        <x:v>110000</x:v>
      </x:c>
      <x:c r="E20" s="66" t="n">
        <x:f>D20/10000</x:f>
        <x:v>11</x:v>
      </x:c>
      <x:c r="F20" s="59" t="str">
        <x:v>신흥동 5956</x:v>
      </x:c>
      <x:c r="G20" s="59" t="str"/>
      <x:c r="H20" s="59"/>
      <x:c r="I20" s="68" t="n">
        <x:v>125.78</x:v>
      </x:c>
      <x:c r="J20" s="68"/>
      <x:c r="K20" s="68"/>
      <x:c r="L20" s="78"/>
    </x:row>
    <x:row r="21">
      <x:c r="A21" s="58" t="str">
        <x:v>신흥1구역</x:v>
      </x:c>
      <x:c r="B21" s="59" t="n">
        <x:v>3873727</x:v>
      </x:c>
      <x:c r="C21" s="59" t="str">
        <x:v>공개값 미표기</x:v>
      </x:c>
      <x:c r="D21" s="64" t="n">
        <x:v>110000</x:v>
      </x:c>
      <x:c r="E21" s="66" t="n">
        <x:f>D21/10000</x:f>
        <x:v>11</x:v>
      </x:c>
      <x:c r="F21" s="59" t="str">
        <x:v>신흥동 4437</x:v>
      </x:c>
      <x:c r="G21" s="59" t="str"/>
      <x:c r="H21" s="59"/>
      <x:c r="I21" s="68" t="n">
        <x:v>224.98</x:v>
      </x:c>
      <x:c r="J21" s="68"/>
      <x:c r="K21" s="68"/>
      <x:c r="L21" s="78"/>
    </x:row>
    <x:row r="22">
      <x:c r="A22" s="58" t="str">
        <x:v>신흥1구역</x:v>
      </x:c>
      <x:c r="B22" s="59" t="n">
        <x:v>3659591</x:v>
      </x:c>
      <x:c r="C22" s="59" t="str">
        <x:v>공개값 미표기</x:v>
      </x:c>
      <x:c r="D22" s="64" t="n">
        <x:v>110000</x:v>
      </x:c>
      <x:c r="E22" s="66" t="n">
        <x:f>D22/10000</x:f>
        <x:v>11</x:v>
      </x:c>
      <x:c r="F22" s="59" t="str">
        <x:v>신흥동 4658</x:v>
      </x:c>
      <x:c r="G22" s="59" t="str"/>
      <x:c r="H22" s="59"/>
      <x:c r="I22" s="68" t="n">
        <x:v>181.29</x:v>
      </x:c>
      <x:c r="J22" s="68"/>
      <x:c r="K22" s="68"/>
      <x:c r="L22" s="78"/>
    </x:row>
    <x:row r="23">
      <x:c r="A23" s="58" t="str">
        <x:v>신흥1구역</x:v>
      </x:c>
      <x:c r="B23" s="59" t="n">
        <x:v>3947322</x:v>
      </x:c>
      <x:c r="C23" s="59" t="str">
        <x:v>공개값 미표기</x:v>
      </x:c>
      <x:c r="D23" s="64" t="n">
        <x:v>109400</x:v>
      </x:c>
      <x:c r="E23" s="66" t="n">
        <x:f>D23/10000</x:f>
        <x:v>10.94</x:v>
      </x:c>
      <x:c r="F23" s="59" t="str">
        <x:v>신흥동 5757</x:v>
      </x:c>
      <x:c r="G23" s="59" t="str"/>
      <x:c r="H23" s="59"/>
      <x:c r="I23" s="68" t="n">
        <x:v>187.33</x:v>
      </x:c>
      <x:c r="J23" s="68"/>
      <x:c r="K23" s="68"/>
      <x:c r="L23" s="78"/>
    </x:row>
    <x:row r="24">
      <x:c r="A24" s="58" t="str">
        <x:v>신흥1구역</x:v>
      </x:c>
      <x:c r="B24" s="59" t="n">
        <x:v>4368497</x:v>
      </x:c>
      <x:c r="C24" s="59" t="str">
        <x:v>공개값 미표기</x:v>
      </x:c>
      <x:c r="D24" s="64" t="n">
        <x:v>105000</x:v>
      </x:c>
      <x:c r="E24" s="66" t="n">
        <x:f>D24/10000</x:f>
        <x:v>10.5</x:v>
      </x:c>
      <x:c r="F24" s="59" t="str">
        <x:v>신흥동 5001</x:v>
      </x:c>
      <x:c r="G24" s="59" t="str"/>
      <x:c r="H24" s="59"/>
      <x:c r="I24" s="68" t="n">
        <x:v>188.58</x:v>
      </x:c>
      <x:c r="J24" s="68"/>
      <x:c r="K24" s="68"/>
      <x:c r="L24" s="78"/>
    </x:row>
    <x:row r="25">
      <x:c r="A25" s="58" t="str">
        <x:v>신흥1구역</x:v>
      </x:c>
      <x:c r="B25" s="59" t="n">
        <x:v>4146626</x:v>
      </x:c>
      <x:c r="C25" s="59" t="str">
        <x:v>공개값 미표기</x:v>
      </x:c>
      <x:c r="D25" s="64" t="n">
        <x:v>105000</x:v>
      </x:c>
      <x:c r="E25" s="66" t="n">
        <x:f>D25/10000</x:f>
        <x:v>10.5</x:v>
      </x:c>
      <x:c r="F25" s="59" t="str">
        <x:v>신흥동 4710</x:v>
      </x:c>
      <x:c r="G25" s="59" t="str"/>
      <x:c r="H25" s="59"/>
      <x:c r="I25" s="68" t="n">
        <x:v>141.52</x:v>
      </x:c>
      <x:c r="J25" s="68"/>
      <x:c r="K25" s="68"/>
      <x:c r="L25" s="78"/>
    </x:row>
    <x:row r="26">
      <x:c r="A26" s="58" t="str">
        <x:v>신흥1구역</x:v>
      </x:c>
      <x:c r="B26" s="59" t="n">
        <x:v>4193641</x:v>
      </x:c>
      <x:c r="C26" s="59" t="str">
        <x:v>공개값 미표기</x:v>
      </x:c>
      <x:c r="D26" s="64" t="n">
        <x:v>105000</x:v>
      </x:c>
      <x:c r="E26" s="66" t="n">
        <x:f>D26/10000</x:f>
        <x:v>10.5</x:v>
      </x:c>
      <x:c r="F26" s="59" t="str">
        <x:v>신흥동 4874</x:v>
      </x:c>
      <x:c r="G26" s="59" t="str"/>
      <x:c r="H26" s="59" t="n">
        <x:v>0</x:v>
      </x:c>
      <x:c r="I26" s="68" t="n">
        <x:v>84.39</x:v>
      </x:c>
      <x:c r="J26" s="68"/>
      <x:c r="K26" s="68"/>
      <x:c r="L26" s="78"/>
    </x:row>
    <x:row r="27">
      <x:c r="A27" s="58" t="str">
        <x:v>신흥1구역</x:v>
      </x:c>
      <x:c r="B27" s="59" t="n">
        <x:v>3707220</x:v>
      </x:c>
      <x:c r="C27" s="59" t="str">
        <x:v>공개값 미표기</x:v>
      </x:c>
      <x:c r="D27" s="64" t="n">
        <x:v>105000</x:v>
      </x:c>
      <x:c r="E27" s="66" t="n">
        <x:f>D27/10000</x:f>
        <x:v>10.5</x:v>
      </x:c>
      <x:c r="F27" s="59" t="str">
        <x:v>신흥동 4344</x:v>
      </x:c>
      <x:c r="G27" s="59" t="str"/>
      <x:c r="H27" s="59"/>
      <x:c r="I27" s="68" t="n">
        <x:v>198.96</x:v>
      </x:c>
      <x:c r="J27" s="68"/>
      <x:c r="K27" s="68"/>
      <x:c r="L27" s="78"/>
    </x:row>
    <x:row r="28">
      <x:c r="A28" s="58" t="str">
        <x:v>신흥1구역</x:v>
      </x:c>
      <x:c r="B28" s="59" t="n">
        <x:v>4193634</x:v>
      </x:c>
      <x:c r="C28" s="59" t="str">
        <x:v>공개값 미표기</x:v>
      </x:c>
      <x:c r="D28" s="64" t="n">
        <x:v>104000</x:v>
      </x:c>
      <x:c r="E28" s="66" t="n">
        <x:f>D28/10000</x:f>
        <x:v>10.4</x:v>
      </x:c>
      <x:c r="F28" s="59" t="str">
        <x:v>신흥동 5748</x:v>
      </x:c>
      <x:c r="G28" s="59" t="str"/>
      <x:c r="H28" s="59"/>
      <x:c r="I28" s="68" t="n">
        <x:v>127.66</x:v>
      </x:c>
      <x:c r="J28" s="68"/>
      <x:c r="K28" s="68"/>
      <x:c r="L28" s="78"/>
    </x:row>
    <x:row r="29">
      <x:c r="A29" s="58" t="str">
        <x:v>신흥1구역</x:v>
      </x:c>
      <x:c r="B29" s="59" t="n">
        <x:v>3873624</x:v>
      </x:c>
      <x:c r="C29" s="59" t="str">
        <x:v>공개값 미표기</x:v>
      </x:c>
      <x:c r="D29" s="64" t="n">
        <x:v>104000</x:v>
      </x:c>
      <x:c r="E29" s="66" t="n">
        <x:f>D29/10000</x:f>
        <x:v>10.4</x:v>
      </x:c>
      <x:c r="F29" s="59" t="str">
        <x:v>신흥동 4858</x:v>
      </x:c>
      <x:c r="G29" s="59" t="str"/>
      <x:c r="H29" s="59"/>
      <x:c r="I29" s="68" t="n">
        <x:v>140.28</x:v>
      </x:c>
      <x:c r="J29" s="68"/>
      <x:c r="K29" s="68"/>
      <x:c r="L29" s="78"/>
    </x:row>
    <x:row r="30">
      <x:c r="A30" s="58" t="str">
        <x:v>신흥1구역</x:v>
      </x:c>
      <x:c r="B30" s="59" t="n">
        <x:v>4236070</x:v>
      </x:c>
      <x:c r="C30" s="59" t="str">
        <x:v>공개값 미표기</x:v>
      </x:c>
      <x:c r="D30" s="64" t="n">
        <x:v>103000</x:v>
      </x:c>
      <x:c r="E30" s="66" t="n">
        <x:f>D30/10000</x:f>
        <x:v>10.3</x:v>
      </x:c>
      <x:c r="F30" s="59" t="str">
        <x:v>신흥동 5819</x:v>
      </x:c>
      <x:c r="G30" s="59" t="str"/>
      <x:c r="H30" s="59"/>
      <x:c r="I30" s="68" t="n">
        <x:v>133.61</x:v>
      </x:c>
      <x:c r="J30" s="68"/>
      <x:c r="K30" s="68"/>
      <x:c r="L30" s="78"/>
    </x:row>
    <x:row r="31">
      <x:c r="A31" s="58" t="str">
        <x:v>신흥1구역</x:v>
      </x:c>
      <x:c r="B31" s="59" t="n">
        <x:v>4047216</x:v>
      </x:c>
      <x:c r="C31" s="59" t="str">
        <x:v>공개값 미표기</x:v>
      </x:c>
      <x:c r="D31" s="64" t="n">
        <x:v>101000</x:v>
      </x:c>
      <x:c r="E31" s="66" t="n">
        <x:f>D31/10000</x:f>
        <x:v>10.1</x:v>
      </x:c>
      <x:c r="F31" s="59" t="str">
        <x:v>신흥동 4956</x:v>
      </x:c>
      <x:c r="G31" s="59" t="str"/>
      <x:c r="H31" s="59"/>
      <x:c r="I31" s="68" t="n">
        <x:v>125.84</x:v>
      </x:c>
      <x:c r="J31" s="68"/>
      <x:c r="K31" s="68"/>
      <x:c r="L31" s="78"/>
    </x:row>
    <x:row r="32">
      <x:c r="A32" s="58" t="str">
        <x:v>신흥1구역</x:v>
      </x:c>
      <x:c r="B32" s="59" t="n">
        <x:v>4547130</x:v>
      </x:c>
      <x:c r="C32" s="59" t="str">
        <x:v>공개값 미표기</x:v>
      </x:c>
      <x:c r="D32" s="64" t="n">
        <x:v>100000</x:v>
      </x:c>
      <x:c r="E32" s="66" t="n">
        <x:f>D32/10000</x:f>
        <x:v>10</x:v>
      </x:c>
      <x:c r="F32" s="59" t="str">
        <x:v>신흥동 6837</x:v>
      </x:c>
      <x:c r="G32" s="59" t="str"/>
      <x:c r="H32" s="59"/>
      <x:c r="I32" s="68" t="n">
        <x:v>143.58</x:v>
      </x:c>
      <x:c r="J32" s="68"/>
      <x:c r="K32" s="68"/>
      <x:c r="L32" s="78"/>
    </x:row>
    <x:row r="33">
      <x:c r="A33" s="58" t="str">
        <x:v>신흥1구역</x:v>
      </x:c>
      <x:c r="B33" s="59" t="n">
        <x:v>4327507</x:v>
      </x:c>
      <x:c r="C33" s="59" t="str">
        <x:v>공개값 미표기</x:v>
      </x:c>
      <x:c r="D33" s="64" t="n">
        <x:v>100000</x:v>
      </x:c>
      <x:c r="E33" s="66" t="n">
        <x:f>D33/10000</x:f>
        <x:v>10</x:v>
      </x:c>
      <x:c r="F33" s="59" t="str">
        <x:v>신흥동 5661</x:v>
      </x:c>
      <x:c r="G33" s="59" t="str"/>
      <x:c r="H33" s="59"/>
      <x:c r="I33" s="68" t="n">
        <x:v>177.84</x:v>
      </x:c>
      <x:c r="J33" s="68"/>
      <x:c r="K33" s="68"/>
      <x:c r="L33" s="78"/>
    </x:row>
    <x:row r="34">
      <x:c r="A34" s="58" t="str">
        <x:v>신흥1구역</x:v>
      </x:c>
      <x:c r="B34" s="59" t="n">
        <x:v>4279703</x:v>
      </x:c>
      <x:c r="C34" s="59" t="str">
        <x:v>공개값 미표기</x:v>
      </x:c>
      <x:c r="D34" s="64" t="n">
        <x:v>100000</x:v>
      </x:c>
      <x:c r="E34" s="66" t="n">
        <x:f>D34/10000</x:f>
        <x:v>10</x:v>
      </x:c>
      <x:c r="F34" s="59" t="str">
        <x:v>신흥동 4348</x:v>
      </x:c>
      <x:c r="G34" s="59" t="str"/>
      <x:c r="H34" s="59"/>
      <x:c r="I34" s="68" t="n">
        <x:v>109.05</x:v>
      </x:c>
      <x:c r="J34" s="68"/>
      <x:c r="K34" s="68"/>
      <x:c r="L34" s="78"/>
    </x:row>
    <x:row r="35">
      <x:c r="A35" s="58" t="str">
        <x:v>신흥1구역</x:v>
      </x:c>
      <x:c r="B35" s="59" t="n">
        <x:v>4236202</x:v>
      </x:c>
      <x:c r="C35" s="59" t="str">
        <x:v>공개값 미표기</x:v>
      </x:c>
      <x:c r="D35" s="64" t="n">
        <x:v>100000</x:v>
      </x:c>
      <x:c r="E35" s="66" t="n">
        <x:f>D35/10000</x:f>
        <x:v>10</x:v>
      </x:c>
      <x:c r="F35" s="59" t="str">
        <x:v>신흥동 6349</x:v>
      </x:c>
      <x:c r="G35" s="59" t="str"/>
      <x:c r="H35" s="59"/>
      <x:c r="I35" s="68" t="n">
        <x:v>131.08</x:v>
      </x:c>
      <x:c r="J35" s="68"/>
      <x:c r="K35" s="68"/>
      <x:c r="L35" s="78"/>
    </x:row>
    <x:row r="36">
      <x:c r="A36" s="58" t="str">
        <x:v>신흥1구역</x:v>
      </x:c>
      <x:c r="B36" s="59" t="n">
        <x:v>4193658</x:v>
      </x:c>
      <x:c r="C36" s="59" t="str">
        <x:v>공개값 미표기</x:v>
      </x:c>
      <x:c r="D36" s="64" t="n">
        <x:v>100000</x:v>
      </x:c>
      <x:c r="E36" s="66" t="n">
        <x:f>D36/10000</x:f>
        <x:v>10</x:v>
      </x:c>
      <x:c r="F36" s="59" t="str">
        <x:v>신흥동 6810</x:v>
      </x:c>
      <x:c r="G36" s="59" t="str"/>
      <x:c r="H36" s="59"/>
      <x:c r="I36" s="68" t="n">
        <x:v>142.22</x:v>
      </x:c>
      <x:c r="J36" s="68"/>
      <x:c r="K36" s="68"/>
      <x:c r="L36" s="78"/>
    </x:row>
    <x:row r="37">
      <x:c r="A37" s="58" t="str">
        <x:v>신흥1구역</x:v>
      </x:c>
      <x:c r="B37" s="59" t="n">
        <x:v>4146633</x:v>
      </x:c>
      <x:c r="C37" s="59" t="str">
        <x:v>공개값 미표기</x:v>
      </x:c>
      <x:c r="D37" s="64" t="n">
        <x:v>100000</x:v>
      </x:c>
      <x:c r="E37" s="66" t="n">
        <x:f>D37/10000</x:f>
        <x:v>10</x:v>
      </x:c>
      <x:c r="F37" s="59" t="str">
        <x:v>신흥동 4441</x:v>
      </x:c>
      <x:c r="G37" s="59" t="str"/>
      <x:c r="H37" s="59"/>
      <x:c r="I37" s="68" t="n">
        <x:v>184.46</x:v>
      </x:c>
      <x:c r="J37" s="68"/>
      <x:c r="K37" s="68"/>
      <x:c r="L37" s="78"/>
    </x:row>
    <x:row r="38">
      <x:c r="A38" s="58" t="str">
        <x:v>신흥1구역</x:v>
      </x:c>
      <x:c r="B38" s="59" t="n">
        <x:v>4193629</x:v>
      </x:c>
      <x:c r="C38" s="59" t="str">
        <x:v>공개값 미표기</x:v>
      </x:c>
      <x:c r="D38" s="64" t="n">
        <x:v>100000</x:v>
      </x:c>
      <x:c r="E38" s="66" t="n">
        <x:f>D38/10000</x:f>
        <x:v>10</x:v>
      </x:c>
      <x:c r="F38" s="59" t="str">
        <x:v>신흥동 5668</x:v>
      </x:c>
      <x:c r="G38" s="59" t="str"/>
      <x:c r="H38" s="59"/>
      <x:c r="I38" s="68" t="n">
        <x:v>133.72</x:v>
      </x:c>
      <x:c r="J38" s="68"/>
      <x:c r="K38" s="68"/>
      <x:c r="L38" s="78"/>
    </x:row>
    <x:row r="39">
      <x:c r="A39" s="58" t="str">
        <x:v>신흥1구역</x:v>
      </x:c>
      <x:c r="B39" s="59" t="n">
        <x:v>4047218</x:v>
      </x:c>
      <x:c r="C39" s="59" t="str">
        <x:v>공개값 미표기</x:v>
      </x:c>
      <x:c r="D39" s="64" t="n">
        <x:v>100000</x:v>
      </x:c>
      <x:c r="E39" s="66" t="n">
        <x:f>D39/10000</x:f>
        <x:v>10</x:v>
      </x:c>
      <x:c r="F39" s="59" t="str">
        <x:v>신흥동 6309</x:v>
      </x:c>
      <x:c r="G39" s="59" t="str"/>
      <x:c r="H39" s="59"/>
      <x:c r="I39" s="68" t="n">
        <x:v>115.55</x:v>
      </x:c>
      <x:c r="J39" s="68"/>
      <x:c r="K39" s="68"/>
      <x:c r="L39" s="78"/>
    </x:row>
    <x:row r="40">
      <x:c r="A40" s="58" t="str">
        <x:v>신흥1구역</x:v>
      </x:c>
      <x:c r="B40" s="59" t="n">
        <x:v>4047285</x:v>
      </x:c>
      <x:c r="C40" s="59" t="str">
        <x:v>공개값 미표기</x:v>
      </x:c>
      <x:c r="D40" s="64" t="n">
        <x:v>100000</x:v>
      </x:c>
      <x:c r="E40" s="66" t="n">
        <x:f>D40/10000</x:f>
        <x:v>10</x:v>
      </x:c>
      <x:c r="F40" s="59" t="str">
        <x:v>신흥동 4587</x:v>
      </x:c>
      <x:c r="G40" s="59" t="str"/>
      <x:c r="H40" s="59"/>
      <x:c r="I40" s="68" t="n">
        <x:v>121.5</x:v>
      </x:c>
      <x:c r="J40" s="68"/>
      <x:c r="K40" s="68"/>
      <x:c r="L40" s="78"/>
    </x:row>
    <x:row r="41">
      <x:c r="A41" s="58" t="str">
        <x:v>신흥1구역</x:v>
      </x:c>
      <x:c r="B41" s="59" t="n">
        <x:v>4047280</x:v>
      </x:c>
      <x:c r="C41" s="59" t="str">
        <x:v>공개값 미표기</x:v>
      </x:c>
      <x:c r="D41" s="64" t="n">
        <x:v>100000</x:v>
      </x:c>
      <x:c r="E41" s="66" t="n">
        <x:f>D41/10000</x:f>
        <x:v>10</x:v>
      </x:c>
      <x:c r="F41" s="59" t="str">
        <x:v>신흥동 5200</x:v>
      </x:c>
      <x:c r="G41" s="59" t="str"/>
      <x:c r="H41" s="59"/>
      <x:c r="I41" s="68" t="n">
        <x:v>114.9</x:v>
      </x:c>
      <x:c r="J41" s="68"/>
      <x:c r="K41" s="68"/>
      <x:c r="L41" s="78"/>
    </x:row>
    <x:row r="42">
      <x:c r="A42" s="58" t="str">
        <x:v>신흥1구역</x:v>
      </x:c>
      <x:c r="B42" s="59" t="n">
        <x:v>3986229</x:v>
      </x:c>
      <x:c r="C42" s="59" t="str">
        <x:v>공개값 미표기</x:v>
      </x:c>
      <x:c r="D42" s="64" t="n">
        <x:v>100000</x:v>
      </x:c>
      <x:c r="E42" s="66" t="n">
        <x:f>D42/10000</x:f>
        <x:v>10</x:v>
      </x:c>
      <x:c r="F42" s="59" t="str">
        <x:v>신흥동 6580</x:v>
      </x:c>
      <x:c r="G42" s="59" t="str"/>
      <x:c r="H42" s="59"/>
      <x:c r="I42" s="68" t="n">
        <x:v>112.91</x:v>
      </x:c>
      <x:c r="J42" s="68"/>
      <x:c r="K42" s="68"/>
      <x:c r="L42" s="78"/>
    </x:row>
    <x:row r="43">
      <x:c r="A43" s="58" t="str">
        <x:v>신흥1구역</x:v>
      </x:c>
      <x:c r="B43" s="59" t="n">
        <x:v>3947399</x:v>
      </x:c>
      <x:c r="C43" s="59" t="str">
        <x:v>공개값 미표기</x:v>
      </x:c>
      <x:c r="D43" s="64" t="n">
        <x:v>100000</x:v>
      </x:c>
      <x:c r="E43" s="66" t="n">
        <x:f>D43/10000</x:f>
        <x:v>10</x:v>
      </x:c>
      <x:c r="F43" s="59" t="str">
        <x:v>신흥동 6158</x:v>
      </x:c>
      <x:c r="G43" s="59" t="str"/>
      <x:c r="H43" s="59"/>
      <x:c r="I43" s="68" t="n">
        <x:v>116.3</x:v>
      </x:c>
      <x:c r="J43" s="68"/>
      <x:c r="K43" s="68"/>
      <x:c r="L43" s="78"/>
    </x:row>
    <x:row r="44">
      <x:c r="A44" s="58" t="str">
        <x:v>신흥1구역</x:v>
      </x:c>
      <x:c r="B44" s="59" t="n">
        <x:v>3873619</x:v>
      </x:c>
      <x:c r="C44" s="59" t="str">
        <x:v>공개값 미표기</x:v>
      </x:c>
      <x:c r="D44" s="64" t="n">
        <x:v>100000</x:v>
      </x:c>
      <x:c r="E44" s="66" t="n">
        <x:f>D44/10000</x:f>
        <x:v>10</x:v>
      </x:c>
      <x:c r="F44" s="59" t="str">
        <x:v>신흥동 4640</x:v>
      </x:c>
      <x:c r="G44" s="59" t="str"/>
      <x:c r="H44" s="59"/>
      <x:c r="I44" s="68" t="n">
        <x:v>147.8</x:v>
      </x:c>
      <x:c r="J44" s="68"/>
      <x:c r="K44" s="68"/>
      <x:c r="L44" s="78"/>
    </x:row>
    <x:row r="45">
      <x:c r="A45" s="58" t="str">
        <x:v>신흥1구역</x:v>
      </x:c>
      <x:c r="B45" s="59" t="n">
        <x:v>3873597</x:v>
      </x:c>
      <x:c r="C45" s="59" t="str">
        <x:v>공개값 미표기</x:v>
      </x:c>
      <x:c r="D45" s="64" t="n">
        <x:v>100000</x:v>
      </x:c>
      <x:c r="E45" s="66" t="n">
        <x:f>D45/10000</x:f>
        <x:v>10</x:v>
      </x:c>
      <x:c r="F45" s="59" t="str">
        <x:v>신흥동 6483</x:v>
      </x:c>
      <x:c r="G45" s="59" t="str"/>
      <x:c r="H45" s="59"/>
      <x:c r="I45" s="68" t="n">
        <x:v>145.9</x:v>
      </x:c>
      <x:c r="J45" s="68"/>
      <x:c r="K45" s="68"/>
      <x:c r="L45" s="78"/>
    </x:row>
    <x:row r="46">
      <x:c r="A46" s="58" t="str">
        <x:v>신흥1구역</x:v>
      </x:c>
      <x:c r="B46" s="59" t="n">
        <x:v>3748688</x:v>
      </x:c>
      <x:c r="C46" s="59" t="str">
        <x:v>공개값 미표기</x:v>
      </x:c>
      <x:c r="D46" s="64" t="n">
        <x:v>100000</x:v>
      </x:c>
      <x:c r="E46" s="66" t="n">
        <x:f>D46/10000</x:f>
        <x:v>10</x:v>
      </x:c>
      <x:c r="F46" s="59" t="str">
        <x:v>신흥동 6422</x:v>
      </x:c>
      <x:c r="G46" s="59" t="str"/>
      <x:c r="H46" s="59"/>
      <x:c r="I46" s="68" t="n">
        <x:v>90.8</x:v>
      </x:c>
      <x:c r="J46" s="68"/>
      <x:c r="K46" s="68"/>
      <x:c r="L46" s="78"/>
    </x:row>
    <x:row r="47">
      <x:c r="A47" s="58" t="str">
        <x:v>신흥1구역</x:v>
      </x:c>
      <x:c r="B47" s="59" t="n">
        <x:v>3622794</x:v>
      </x:c>
      <x:c r="C47" s="59" t="str">
        <x:v>공개값 미표기</x:v>
      </x:c>
      <x:c r="D47" s="64" t="n">
        <x:v>100000</x:v>
      </x:c>
      <x:c r="E47" s="66" t="n">
        <x:f>D47/10000</x:f>
        <x:v>10</x:v>
      </x:c>
      <x:c r="F47" s="59" t="str">
        <x:v>신흥동 5807</x:v>
      </x:c>
      <x:c r="G47" s="59" t="str"/>
      <x:c r="H47" s="59"/>
      <x:c r="I47" s="68" t="n">
        <x:v>143.59</x:v>
      </x:c>
      <x:c r="J47" s="68"/>
      <x:c r="K47" s="68"/>
      <x:c r="L47" s="78"/>
    </x:row>
    <x:row r="48">
      <x:c r="A48" s="58" t="str">
        <x:v>신흥1구역</x:v>
      </x:c>
      <x:c r="B48" s="59" t="n">
        <x:v>4368477</x:v>
      </x:c>
      <x:c r="C48" s="59" t="str">
        <x:v>공개값 미표기</x:v>
      </x:c>
      <x:c r="D48" s="64" t="n">
        <x:v>98000</x:v>
      </x:c>
      <x:c r="E48" s="66" t="n">
        <x:f>D48/10000</x:f>
        <x:v>9.8</x:v>
      </x:c>
      <x:c r="F48" s="59" t="str">
        <x:v>신흥동 4597</x:v>
      </x:c>
      <x:c r="G48" s="59" t="str"/>
      <x:c r="H48" s="59" t="n">
        <x:v>0</x:v>
      </x:c>
      <x:c r="I48" s="68" t="n">
        <x:v>87.64</x:v>
      </x:c>
      <x:c r="J48" s="68"/>
      <x:c r="K48" s="68"/>
      <x:c r="L48" s="78"/>
    </x:row>
    <x:row r="49">
      <x:c r="A49" s="58" t="str">
        <x:v>신흥1구역</x:v>
      </x:c>
      <x:c r="B49" s="59" t="n">
        <x:v>4368479</x:v>
      </x:c>
      <x:c r="C49" s="59" t="str">
        <x:v>공개값 미표기</x:v>
      </x:c>
      <x:c r="D49" s="64" t="n">
        <x:v>97000</x:v>
      </x:c>
      <x:c r="E49" s="66" t="n">
        <x:f>D49/10000</x:f>
        <x:v>9.7</x:v>
      </x:c>
      <x:c r="F49" s="59" t="str">
        <x:v>신흥동 6057</x:v>
      </x:c>
      <x:c r="G49" s="59" t="str"/>
      <x:c r="H49" s="59"/>
      <x:c r="I49" s="68" t="n">
        <x:v>109.5</x:v>
      </x:c>
      <x:c r="J49" s="68"/>
      <x:c r="K49" s="68"/>
      <x:c r="L49" s="78"/>
    </x:row>
    <x:row r="50">
      <x:c r="A50" s="58" t="str">
        <x:v>신흥1구역</x:v>
      </x:c>
      <x:c r="B50" s="59" t="n">
        <x:v>4102641</x:v>
      </x:c>
      <x:c r="C50" s="59" t="str">
        <x:v>공개값 미표기</x:v>
      </x:c>
      <x:c r="D50" s="64" t="n">
        <x:v>96500</x:v>
      </x:c>
      <x:c r="E50" s="66" t="n">
        <x:f>D50/10000</x:f>
        <x:v>9.65</x:v>
      </x:c>
      <x:c r="F50" s="59" t="str">
        <x:v>신흥동 4301</x:v>
      </x:c>
      <x:c r="G50" s="59" t="str"/>
      <x:c r="H50" s="59" t="n">
        <x:v>0</x:v>
      </x:c>
      <x:c r="I50" s="68" t="n">
        <x:v>129.13</x:v>
      </x:c>
      <x:c r="J50" s="68"/>
      <x:c r="K50" s="68"/>
      <x:c r="L50" s="78"/>
    </x:row>
    <x:row r="51">
      <x:c r="A51" s="58" t="str">
        <x:v>신흥1구역</x:v>
      </x:c>
      <x:c r="B51" s="59" t="n">
        <x:v>4368478</x:v>
      </x:c>
      <x:c r="C51" s="59" t="str">
        <x:v>공개값 미표기</x:v>
      </x:c>
      <x:c r="D51" s="64" t="n">
        <x:v>96000</x:v>
      </x:c>
      <x:c r="E51" s="66" t="n">
        <x:f>D51/10000</x:f>
        <x:v>9.6</x:v>
      </x:c>
      <x:c r="F51" s="59" t="str">
        <x:v>신흥동 6709</x:v>
      </x:c>
      <x:c r="G51" s="59" t="str"/>
      <x:c r="H51" s="59"/>
      <x:c r="I51" s="68" t="n">
        <x:v>133.61</x:v>
      </x:c>
      <x:c r="J51" s="68"/>
      <x:c r="K51" s="68"/>
      <x:c r="L51" s="78"/>
    </x:row>
    <x:row r="52">
      <x:c r="A52" s="58" t="str">
        <x:v>신흥1구역</x:v>
      </x:c>
      <x:c r="B52" s="59" t="n">
        <x:v>4193671</x:v>
      </x:c>
      <x:c r="C52" s="59" t="str">
        <x:v>공개값 미표기</x:v>
      </x:c>
      <x:c r="D52" s="64" t="n">
        <x:v>96000</x:v>
      </x:c>
      <x:c r="E52" s="66" t="n">
        <x:f>D52/10000</x:f>
        <x:v>9.6</x:v>
      </x:c>
      <x:c r="F52" s="59" t="str">
        <x:v>신흥동 5821</x:v>
      </x:c>
      <x:c r="G52" s="59" t="str"/>
      <x:c r="H52" s="59"/>
      <x:c r="I52" s="68" t="n">
        <x:v>141.38</x:v>
      </x:c>
      <x:c r="J52" s="68"/>
      <x:c r="K52" s="68"/>
      <x:c r="L52" s="78"/>
    </x:row>
    <x:row r="53">
      <x:c r="A53" s="58" t="str">
        <x:v>신흥1구역</x:v>
      </x:c>
      <x:c r="B53" s="59" t="n">
        <x:v>4547095</x:v>
      </x:c>
      <x:c r="C53" s="59" t="str">
        <x:v>공개값 미표기</x:v>
      </x:c>
      <x:c r="D53" s="64" t="n">
        <x:v>95000</x:v>
      </x:c>
      <x:c r="E53" s="66" t="n">
        <x:f>D53/10000</x:f>
        <x:v>9.5</x:v>
      </x:c>
      <x:c r="F53" s="59" t="str">
        <x:v>신흥동 6650</x:v>
      </x:c>
      <x:c r="G53" s="59" t="str"/>
      <x:c r="H53" s="59"/>
      <x:c r="I53" s="68" t="n">
        <x:v>103.51</x:v>
      </x:c>
      <x:c r="J53" s="68"/>
      <x:c r="K53" s="68"/>
      <x:c r="L53" s="78"/>
    </x:row>
    <x:row r="54">
      <x:c r="A54" s="58" t="str">
        <x:v>신흥1구역</x:v>
      </x:c>
      <x:c r="B54" s="59" t="n">
        <x:v>4368574</x:v>
      </x:c>
      <x:c r="C54" s="59" t="str">
        <x:v>공개값 미표기</x:v>
      </x:c>
      <x:c r="D54" s="64" t="n">
        <x:v>95000</x:v>
      </x:c>
      <x:c r="E54" s="66" t="n">
        <x:f>D54/10000</x:f>
        <x:v>9.5</x:v>
      </x:c>
      <x:c r="F54" s="59" t="str">
        <x:v>신흥동 5211</x:v>
      </x:c>
      <x:c r="G54" s="59" t="str"/>
      <x:c r="H54" s="59"/>
      <x:c r="I54" s="68" t="n">
        <x:v>101.25</x:v>
      </x:c>
      <x:c r="J54" s="68"/>
      <x:c r="K54" s="68"/>
      <x:c r="L54" s="78"/>
    </x:row>
    <x:row r="55">
      <x:c r="A55" s="58" t="str">
        <x:v>신흥1구역</x:v>
      </x:c>
      <x:c r="B55" s="59" t="n">
        <x:v>4279704</x:v>
      </x:c>
      <x:c r="C55" s="59" t="str">
        <x:v>공개값 미표기</x:v>
      </x:c>
      <x:c r="D55" s="64" t="n">
        <x:v>95000</x:v>
      </x:c>
      <x:c r="E55" s="66" t="n">
        <x:f>D55/10000</x:f>
        <x:v>9.5</x:v>
      </x:c>
      <x:c r="F55" s="59" t="str">
        <x:v>신흥동 6773</x:v>
      </x:c>
      <x:c r="G55" s="59" t="str"/>
      <x:c r="H55" s="59"/>
      <x:c r="I55" s="68" t="n">
        <x:v>112.8</x:v>
      </x:c>
      <x:c r="J55" s="68"/>
      <x:c r="K55" s="68"/>
      <x:c r="L55" s="78"/>
    </x:row>
    <x:row r="56">
      <x:c r="A56" s="58" t="str">
        <x:v>신흥1구역</x:v>
      </x:c>
      <x:c r="B56" s="59" t="n">
        <x:v>4193657</x:v>
      </x:c>
      <x:c r="C56" s="59" t="str">
        <x:v>공개값 미표기</x:v>
      </x:c>
      <x:c r="D56" s="64" t="n">
        <x:v>95000</x:v>
      </x:c>
      <x:c r="E56" s="66" t="n">
        <x:f>D56/10000</x:f>
        <x:v>9.5</x:v>
      </x:c>
      <x:c r="F56" s="59" t="str">
        <x:v>신흥동 6860</x:v>
      </x:c>
      <x:c r="G56" s="59" t="str"/>
      <x:c r="H56" s="59"/>
      <x:c r="I56" s="68" t="n">
        <x:v>122.38</x:v>
      </x:c>
      <x:c r="J56" s="68"/>
      <x:c r="K56" s="68"/>
      <x:c r="L56" s="78"/>
    </x:row>
    <x:row r="57">
      <x:c r="A57" s="58" t="str">
        <x:v>신흥1구역</x:v>
      </x:c>
      <x:c r="B57" s="59" t="n">
        <x:v>4047217</x:v>
      </x:c>
      <x:c r="C57" s="59" t="str">
        <x:v>공개값 미표기</x:v>
      </x:c>
      <x:c r="D57" s="64" t="n">
        <x:v>95000</x:v>
      </x:c>
      <x:c r="E57" s="66" t="n">
        <x:f>D57/10000</x:f>
        <x:v>9.5</x:v>
      </x:c>
      <x:c r="F57" s="59" t="str">
        <x:v>신흥동 4926</x:v>
      </x:c>
      <x:c r="G57" s="59" t="str"/>
      <x:c r="H57" s="59"/>
      <x:c r="I57" s="68" t="n">
        <x:v>144.37</x:v>
      </x:c>
      <x:c r="J57" s="68"/>
      <x:c r="K57" s="68"/>
      <x:c r="L57" s="78"/>
    </x:row>
    <x:row r="58">
      <x:c r="A58" s="58" t="str">
        <x:v>신흥1구역</x:v>
      </x:c>
      <x:c r="B58" s="59" t="n">
        <x:v>3947432</x:v>
      </x:c>
      <x:c r="C58" s="59" t="str">
        <x:v>공개값 미표기</x:v>
      </x:c>
      <x:c r="D58" s="64" t="n">
        <x:v>95000</x:v>
      </x:c>
      <x:c r="E58" s="66" t="n">
        <x:f>D58/10000</x:f>
        <x:v>9.5</x:v>
      </x:c>
      <x:c r="F58" s="59" t="str">
        <x:v>신흥동 6865</x:v>
      </x:c>
      <x:c r="G58" s="59" t="str"/>
      <x:c r="H58" s="59"/>
      <x:c r="I58" s="68" t="n">
        <x:v>123.63</x:v>
      </x:c>
      <x:c r="J58" s="68"/>
      <x:c r="K58" s="68"/>
      <x:c r="L58" s="78"/>
    </x:row>
    <x:row r="59">
      <x:c r="A59" s="58" t="str">
        <x:v>신흥1구역</x:v>
      </x:c>
      <x:c r="B59" s="59" t="n">
        <x:v>3707260</x:v>
      </x:c>
      <x:c r="C59" s="59" t="str">
        <x:v>공개값 미표기</x:v>
      </x:c>
      <x:c r="D59" s="64" t="n">
        <x:v>95000</x:v>
      </x:c>
      <x:c r="E59" s="66" t="n">
        <x:f>D59/10000</x:f>
        <x:v>9.5</x:v>
      </x:c>
      <x:c r="F59" s="59" t="str">
        <x:v>신흥동 4972</x:v>
      </x:c>
      <x:c r="G59" s="59" t="str"/>
      <x:c r="H59" s="59"/>
      <x:c r="I59" s="68" t="n">
        <x:v>125.37</x:v>
      </x:c>
      <x:c r="J59" s="68"/>
      <x:c r="K59" s="68"/>
      <x:c r="L59" s="78"/>
    </x:row>
    <x:row r="60">
      <x:c r="A60" s="58" t="str">
        <x:v>신흥1구역</x:v>
      </x:c>
      <x:c r="B60" s="59" t="n">
        <x:v>3592833</x:v>
      </x:c>
      <x:c r="C60" s="59" t="str">
        <x:v>공개값 미표기</x:v>
      </x:c>
      <x:c r="D60" s="64" t="n">
        <x:v>95000</x:v>
      </x:c>
      <x:c r="E60" s="66" t="n">
        <x:f>D60/10000</x:f>
        <x:v>9.5</x:v>
      </x:c>
      <x:c r="F60" s="59" t="str">
        <x:v>신흥동 5291</x:v>
      </x:c>
      <x:c r="G60" s="59" t="str"/>
      <x:c r="H60" s="59" t="n">
        <x:v>0</x:v>
      </x:c>
      <x:c r="I60" s="68" t="n">
        <x:v>94.08</x:v>
      </x:c>
      <x:c r="J60" s="68"/>
      <x:c r="K60" s="68"/>
      <x:c r="L60" s="78"/>
    </x:row>
    <x:row r="61">
      <x:c r="A61" s="58" t="str">
        <x:v>신흥1구역</x:v>
      </x:c>
      <x:c r="B61" s="59" t="n">
        <x:v>3873602</x:v>
      </x:c>
      <x:c r="C61" s="59" t="str">
        <x:v>공개값 미표기</x:v>
      </x:c>
      <x:c r="D61" s="64" t="n">
        <x:v>94000</x:v>
      </x:c>
      <x:c r="E61" s="66" t="n">
        <x:f>D61/10000</x:f>
        <x:v>9.4</x:v>
      </x:c>
      <x:c r="F61" s="59" t="str">
        <x:v>신흥동 6002</x:v>
      </x:c>
      <x:c r="G61" s="59" t="str"/>
      <x:c r="H61" s="59" t="n">
        <x:v>0</x:v>
      </x:c>
      <x:c r="I61" s="68" t="n">
        <x:v>63.78</x:v>
      </x:c>
      <x:c r="J61" s="68"/>
      <x:c r="K61" s="68"/>
      <x:c r="L61" s="78"/>
    </x:row>
    <x:row r="62">
      <x:c r="A62" s="58" t="str">
        <x:v>신흥1구역</x:v>
      </x:c>
      <x:c r="B62" s="59" t="n">
        <x:v>3707232</x:v>
      </x:c>
      <x:c r="C62" s="59" t="str">
        <x:v>공개값 미표기</x:v>
      </x:c>
      <x:c r="D62" s="64" t="n">
        <x:v>92000</x:v>
      </x:c>
      <x:c r="E62" s="66" t="n">
        <x:f>D62/10000</x:f>
        <x:v>9.2</x:v>
      </x:c>
      <x:c r="F62" s="59" t="str">
        <x:v>신흥동 5714</x:v>
      </x:c>
      <x:c r="G62" s="59" t="str"/>
      <x:c r="H62" s="59" t="n">
        <x:v>0</x:v>
      </x:c>
      <x:c r="I62" s="68" t="n">
        <x:v>44.79</x:v>
      </x:c>
      <x:c r="J62" s="68"/>
      <x:c r="K62" s="68"/>
      <x:c r="L62" s="78"/>
    </x:row>
    <x:row r="63">
      <x:c r="A63" s="58" t="str">
        <x:v>신흥1구역</x:v>
      </x:c>
      <x:c r="B63" s="59" t="n">
        <x:v>3873594</x:v>
      </x:c>
      <x:c r="C63" s="59" t="str">
        <x:v>공개값 미표기</x:v>
      </x:c>
      <x:c r="D63" s="64" t="n">
        <x:v>92000</x:v>
      </x:c>
      <x:c r="E63" s="66" t="n">
        <x:f>D63/10000</x:f>
        <x:v>9.2</x:v>
      </x:c>
      <x:c r="F63" s="59" t="str">
        <x:v>신흥동 5237</x:v>
      </x:c>
      <x:c r="G63" s="59" t="str"/>
      <x:c r="H63" s="59"/>
      <x:c r="I63" s="68" t="n">
        <x:v>114.14</x:v>
      </x:c>
      <x:c r="J63" s="68"/>
      <x:c r="K63" s="68"/>
      <x:c r="L63" s="78"/>
    </x:row>
    <x:row r="64">
      <x:c r="A64" s="58" t="str">
        <x:v>신흥1구역</x:v>
      </x:c>
      <x:c r="B64" s="59" t="n">
        <x:v>3592837</x:v>
      </x:c>
      <x:c r="C64" s="59" t="str">
        <x:v>공개값 미표기</x:v>
      </x:c>
      <x:c r="D64" s="64" t="n">
        <x:v>92000</x:v>
      </x:c>
      <x:c r="E64" s="66" t="n">
        <x:f>D64/10000</x:f>
        <x:v>9.2</x:v>
      </x:c>
      <x:c r="F64" s="59" t="str">
        <x:v>신흥동 5724</x:v>
      </x:c>
      <x:c r="G64" s="59" t="str"/>
      <x:c r="H64" s="59" t="n">
        <x:v>0</x:v>
      </x:c>
      <x:c r="I64" s="68" t="n">
        <x:v>79.02</x:v>
      </x:c>
      <x:c r="J64" s="68"/>
      <x:c r="K64" s="68"/>
      <x:c r="L64" s="78"/>
    </x:row>
    <x:row r="65">
      <x:c r="A65" s="58" t="str">
        <x:v>신흥1구역</x:v>
      </x:c>
      <x:c r="B65" s="59" t="n">
        <x:v>3556446</x:v>
      </x:c>
      <x:c r="C65" s="59" t="str">
        <x:v>공개값 미표기</x:v>
      </x:c>
      <x:c r="D65" s="64" t="n">
        <x:v>92000</x:v>
      </x:c>
      <x:c r="E65" s="66" t="n">
        <x:f>D65/10000</x:f>
        <x:v>9.2</x:v>
      </x:c>
      <x:c r="F65" s="59" t="str">
        <x:v>신흥동 5676</x:v>
      </x:c>
      <x:c r="G65" s="59" t="str"/>
      <x:c r="H65" s="59"/>
      <x:c r="I65" s="68" t="n">
        <x:v>104.64</x:v>
      </x:c>
      <x:c r="J65" s="68"/>
      <x:c r="K65" s="68"/>
      <x:c r="L65" s="78"/>
    </x:row>
    <x:row r="66">
      <x:c r="A66" s="58" t="str">
        <x:v>신흥1구역</x:v>
      </x:c>
      <x:c r="B66" s="59" t="n">
        <x:v>4597112</x:v>
      </x:c>
      <x:c r="C66" s="59" t="str">
        <x:v>공개값 미표기</x:v>
      </x:c>
      <x:c r="D66" s="64" t="n">
        <x:v>90000</x:v>
      </x:c>
      <x:c r="E66" s="66" t="n">
        <x:f>D66/10000</x:f>
        <x:v>9</x:v>
      </x:c>
      <x:c r="F66" s="59" t="str">
        <x:v>신흥동 6446</x:v>
      </x:c>
      <x:c r="G66" s="59" t="str"/>
      <x:c r="H66" s="59"/>
      <x:c r="I66" s="68" t="n">
        <x:v>102.53</x:v>
      </x:c>
      <x:c r="J66" s="68"/>
      <x:c r="K66" s="68"/>
      <x:c r="L66" s="78"/>
    </x:row>
    <x:row r="67">
      <x:c r="A67" s="58" t="str">
        <x:v>신흥1구역</x:v>
      </x:c>
      <x:c r="B67" s="59" t="n">
        <x:v>4597108</x:v>
      </x:c>
      <x:c r="C67" s="59" t="str">
        <x:v>공개값 미표기</x:v>
      </x:c>
      <x:c r="D67" s="64" t="n">
        <x:v>90000</x:v>
      </x:c>
      <x:c r="E67" s="66" t="n">
        <x:f>D67/10000</x:f>
        <x:v>9</x:v>
      </x:c>
      <x:c r="F67" s="59" t="str">
        <x:v>신흥동 4286</x:v>
      </x:c>
      <x:c r="G67" s="59" t="str"/>
      <x:c r="H67" s="59"/>
      <x:c r="I67" s="68" t="n">
        <x:v>116.97</x:v>
      </x:c>
      <x:c r="J67" s="68"/>
      <x:c r="K67" s="68"/>
      <x:c r="L67" s="78"/>
    </x:row>
    <x:row r="68">
      <x:c r="A68" s="58" t="str">
        <x:v>신흥1구역</x:v>
      </x:c>
      <x:c r="B68" s="59" t="n">
        <x:v>4547092</x:v>
      </x:c>
      <x:c r="C68" s="59" t="str">
        <x:v>공개값 미표기</x:v>
      </x:c>
      <x:c r="D68" s="64" t="n">
        <x:v>90000</x:v>
      </x:c>
      <x:c r="E68" s="66" t="n">
        <x:f>D68/10000</x:f>
        <x:v>9</x:v>
      </x:c>
      <x:c r="F68" s="59" t="str">
        <x:v>신흥동 6745</x:v>
      </x:c>
      <x:c r="G68" s="59" t="str"/>
      <x:c r="H68" s="59"/>
      <x:c r="I68" s="68" t="n">
        <x:v>111.2</x:v>
      </x:c>
      <x:c r="J68" s="68"/>
      <x:c r="K68" s="68"/>
      <x:c r="L68" s="78"/>
    </x:row>
    <x:row r="69">
      <x:c r="A69" s="58" t="str">
        <x:v>신흥1구역</x:v>
      </x:c>
      <x:c r="B69" s="59" t="n">
        <x:v>4457375</x:v>
      </x:c>
      <x:c r="C69" s="59" t="str">
        <x:v>공개값 미표기</x:v>
      </x:c>
      <x:c r="D69" s="64" t="n">
        <x:v>90000</x:v>
      </x:c>
      <x:c r="E69" s="66" t="n">
        <x:f>D69/10000</x:f>
        <x:v>9</x:v>
      </x:c>
      <x:c r="F69" s="59" t="str">
        <x:v>신흥동 4754</x:v>
      </x:c>
      <x:c r="G69" s="59" t="str"/>
      <x:c r="H69" s="59"/>
      <x:c r="I69" s="68" t="n">
        <x:v>131.33</x:v>
      </x:c>
      <x:c r="J69" s="68"/>
      <x:c r="K69" s="68"/>
      <x:c r="L69" s="78"/>
    </x:row>
    <x:row r="70">
      <x:c r="A70" s="58" t="str">
        <x:v>신흥1구역</x:v>
      </x:c>
      <x:c r="B70" s="59" t="n">
        <x:v>4499604</x:v>
      </x:c>
      <x:c r="C70" s="59" t="str">
        <x:v>공개값 미표기</x:v>
      </x:c>
      <x:c r="D70" s="64" t="n">
        <x:v>90000</x:v>
      </x:c>
      <x:c r="E70" s="66" t="n">
        <x:f>D70/10000</x:f>
        <x:v>9</x:v>
      </x:c>
      <x:c r="F70" s="59" t="str">
        <x:v>신흥동 5802</x:v>
      </x:c>
      <x:c r="G70" s="59" t="str"/>
      <x:c r="H70" s="59"/>
      <x:c r="I70" s="68" t="n">
        <x:v>119.22</x:v>
      </x:c>
      <x:c r="J70" s="68"/>
      <x:c r="K70" s="68"/>
      <x:c r="L70" s="78"/>
    </x:row>
    <x:row r="71">
      <x:c r="A71" s="58" t="str">
        <x:v>신흥1구역</x:v>
      </x:c>
      <x:c r="B71" s="59" t="n">
        <x:v>4368561</x:v>
      </x:c>
      <x:c r="C71" s="59" t="str">
        <x:v>공개값 미표기</x:v>
      </x:c>
      <x:c r="D71" s="64" t="n">
        <x:v>90000</x:v>
      </x:c>
      <x:c r="E71" s="66" t="n">
        <x:f>D71/10000</x:f>
        <x:v>9</x:v>
      </x:c>
      <x:c r="F71" s="59" t="str">
        <x:v>신흥동 4653</x:v>
      </x:c>
      <x:c r="G71" s="59" t="str"/>
      <x:c r="H71" s="59"/>
      <x:c r="I71" s="68" t="n">
        <x:v>117.72</x:v>
      </x:c>
      <x:c r="J71" s="68"/>
      <x:c r="K71" s="68"/>
      <x:c r="L71" s="78"/>
    </x:row>
    <x:row r="72">
      <x:c r="A72" s="58" t="str">
        <x:v>신흥1구역</x:v>
      </x:c>
      <x:c r="B72" s="59" t="n">
        <x:v>4146610</x:v>
      </x:c>
      <x:c r="C72" s="59" t="str">
        <x:v>공개값 미표기</x:v>
      </x:c>
      <x:c r="D72" s="64" t="n">
        <x:v>90000</x:v>
      </x:c>
      <x:c r="E72" s="66" t="n">
        <x:f>D72/10000</x:f>
        <x:v>9</x:v>
      </x:c>
      <x:c r="F72" s="59" t="str">
        <x:v>신흥동 4284</x:v>
      </x:c>
      <x:c r="G72" s="59" t="str"/>
      <x:c r="H72" s="59"/>
      <x:c r="I72" s="68" t="n">
        <x:v>139.81</x:v>
      </x:c>
      <x:c r="J72" s="68"/>
      <x:c r="K72" s="68"/>
      <x:c r="L72" s="78"/>
    </x:row>
    <x:row r="73">
      <x:c r="A73" s="58" t="str">
        <x:v>신흥1구역</x:v>
      </x:c>
      <x:c r="B73" s="59" t="n">
        <x:v>4146615</x:v>
      </x:c>
      <x:c r="C73" s="59" t="str">
        <x:v>공개값 미표기</x:v>
      </x:c>
      <x:c r="D73" s="64" t="n">
        <x:v>90000</x:v>
      </x:c>
      <x:c r="E73" s="66" t="n">
        <x:f>D73/10000</x:f>
        <x:v>9</x:v>
      </x:c>
      <x:c r="F73" s="59" t="str">
        <x:v>신흥동 4814</x:v>
      </x:c>
      <x:c r="G73" s="59" t="str"/>
      <x:c r="H73" s="59"/>
      <x:c r="I73" s="68" t="n">
        <x:v>81.08</x:v>
      </x:c>
      <x:c r="J73" s="68"/>
      <x:c r="K73" s="68"/>
      <x:c r="L73" s="78"/>
    </x:row>
    <x:row r="74">
      <x:c r="A74" s="58" t="str">
        <x:v>신흥1구역</x:v>
      </x:c>
      <x:c r="B74" s="59" t="n">
        <x:v>4236067</x:v>
      </x:c>
      <x:c r="C74" s="59" t="str">
        <x:v>공개값 미표기</x:v>
      </x:c>
      <x:c r="D74" s="64" t="n">
        <x:v>90000</x:v>
      </x:c>
      <x:c r="E74" s="66" t="n">
        <x:f>D74/10000</x:f>
        <x:v>9</x:v>
      </x:c>
      <x:c r="F74" s="59" t="str">
        <x:v>신흥동 6737</x:v>
      </x:c>
      <x:c r="G74" s="59" t="str"/>
      <x:c r="H74" s="59"/>
      <x:c r="I74" s="68" t="n">
        <x:v>108.34</x:v>
      </x:c>
      <x:c r="J74" s="68"/>
      <x:c r="K74" s="68"/>
      <x:c r="L74" s="78"/>
    </x:row>
    <x:row r="75">
      <x:c r="A75" s="58" t="str">
        <x:v>신흥1구역</x:v>
      </x:c>
      <x:c r="B75" s="59" t="n">
        <x:v>4047342</x:v>
      </x:c>
      <x:c r="C75" s="59" t="str">
        <x:v>공개값 미표기</x:v>
      </x:c>
      <x:c r="D75" s="64" t="n">
        <x:v>90000</x:v>
      </x:c>
      <x:c r="E75" s="66" t="n">
        <x:f>D75/10000</x:f>
        <x:v>9</x:v>
      </x:c>
      <x:c r="F75" s="59" t="str">
        <x:v>신흥동 4261</x:v>
      </x:c>
      <x:c r="G75" s="59" t="str"/>
      <x:c r="H75" s="59"/>
      <x:c r="I75" s="68" t="n">
        <x:v>110.17</x:v>
      </x:c>
      <x:c r="J75" s="68"/>
      <x:c r="K75" s="68"/>
      <x:c r="L75" s="78"/>
    </x:row>
    <x:row r="76">
      <x:c r="A76" s="58" t="str">
        <x:v>신흥1구역</x:v>
      </x:c>
      <x:c r="B76" s="59" t="n">
        <x:v>3592841</x:v>
      </x:c>
      <x:c r="C76" s="59" t="str">
        <x:v>공개값 미표기</x:v>
      </x:c>
      <x:c r="D76" s="64" t="n">
        <x:v>90000</x:v>
      </x:c>
      <x:c r="E76" s="66" t="n">
        <x:f>D76/10000</x:f>
        <x:v>9</x:v>
      </x:c>
      <x:c r="F76" s="59" t="str">
        <x:v>신흥동 6763</x:v>
      </x:c>
      <x:c r="G76" s="59" t="str"/>
      <x:c r="H76" s="59"/>
      <x:c r="I76" s="68" t="n">
        <x:v>108.6</x:v>
      </x:c>
      <x:c r="J76" s="68"/>
      <x:c r="K76" s="68"/>
      <x:c r="L76" s="78"/>
    </x:row>
    <x:row r="77">
      <x:c r="A77" s="58" t="str">
        <x:v>신흥1구역</x:v>
      </x:c>
      <x:c r="B77" s="59" t="n">
        <x:v>3748715</x:v>
      </x:c>
      <x:c r="C77" s="59" t="str">
        <x:v>공개값 미표기</x:v>
      </x:c>
      <x:c r="D77" s="64" t="n">
        <x:v>89000</x:v>
      </x:c>
      <x:c r="E77" s="66" t="n">
        <x:f>D77/10000</x:f>
        <x:v>8.9</x:v>
      </x:c>
      <x:c r="F77" s="59" t="str">
        <x:v>신흥동 5220</x:v>
      </x:c>
      <x:c r="G77" s="59" t="str"/>
      <x:c r="H77" s="59"/>
      <x:c r="I77" s="68" t="n">
        <x:v>80.85</x:v>
      </x:c>
      <x:c r="J77" s="68"/>
      <x:c r="K77" s="68"/>
      <x:c r="L77" s="78"/>
    </x:row>
    <x:row r="78">
      <x:c r="A78" s="58" t="str">
        <x:v>신흥1구역</x:v>
      </x:c>
      <x:c r="B78" s="59" t="n">
        <x:v>4410420</x:v>
      </x:c>
      <x:c r="C78" s="59" t="str">
        <x:v>공개값 미표기</x:v>
      </x:c>
      <x:c r="D78" s="64" t="n">
        <x:v>87000</x:v>
      </x:c>
      <x:c r="E78" s="66" t="n">
        <x:f>D78/10000</x:f>
        <x:v>8.7</x:v>
      </x:c>
      <x:c r="F78" s="59" t="str">
        <x:v>신흥동 6122</x:v>
      </x:c>
      <x:c r="G78" s="59" t="str"/>
      <x:c r="H78" s="59"/>
      <x:c r="I78" s="68" t="n">
        <x:v>103.98</x:v>
      </x:c>
      <x:c r="J78" s="68"/>
      <x:c r="K78" s="68"/>
      <x:c r="L78" s="78"/>
    </x:row>
    <x:row r="79">
      <x:c r="A79" s="58" t="str">
        <x:v>신흥1구역</x:v>
      </x:c>
      <x:c r="B79" s="59" t="n">
        <x:v>4368473</x:v>
      </x:c>
      <x:c r="C79" s="59" t="str">
        <x:v>공개값 미표기</x:v>
      </x:c>
      <x:c r="D79" s="64" t="n">
        <x:v>85000</x:v>
      </x:c>
      <x:c r="E79" s="66" t="n">
        <x:f>D79/10000</x:f>
        <x:v>8.5</x:v>
      </x:c>
      <x:c r="F79" s="59" t="str">
        <x:v>신흥동 5789</x:v>
      </x:c>
      <x:c r="G79" s="59" t="str"/>
      <x:c r="H79" s="59"/>
      <x:c r="I79" s="68" t="n">
        <x:v>86.9</x:v>
      </x:c>
      <x:c r="J79" s="68"/>
      <x:c r="K79" s="68"/>
      <x:c r="L79" s="78"/>
    </x:row>
    <x:row r="80">
      <x:c r="A80" s="58" t="str">
        <x:v>신흥1구역</x:v>
      </x:c>
      <x:c r="B80" s="59" t="n">
        <x:v>3707223</x:v>
      </x:c>
      <x:c r="C80" s="59" t="str">
        <x:v>공개값 미표기</x:v>
      </x:c>
      <x:c r="D80" s="64" t="n">
        <x:v>83000</x:v>
      </x:c>
      <x:c r="E80" s="66" t="n">
        <x:f>D80/10000</x:f>
        <x:v>8.3</x:v>
      </x:c>
      <x:c r="F80" s="59" t="str">
        <x:v>신흥동 6928</x:v>
      </x:c>
      <x:c r="G80" s="59" t="str"/>
      <x:c r="H80" s="59" t="n">
        <x:v>1</x:v>
      </x:c>
      <x:c r="I80" s="68"/>
      <x:c r="J80" s="68"/>
      <x:c r="K80" s="68"/>
      <x:c r="L80" s="78"/>
    </x:row>
    <x:row r="81">
      <x:c r="A81" s="58" t="str">
        <x:v>신흥1구역</x:v>
      </x:c>
      <x:c r="B81" s="59" t="n">
        <x:v>3873599</x:v>
      </x:c>
      <x:c r="C81" s="59" t="str">
        <x:v>공개값 미표기</x:v>
      </x:c>
      <x:c r="D81" s="64" t="n">
        <x:v>82000</x:v>
      </x:c>
      <x:c r="E81" s="66" t="n">
        <x:f>D81/10000</x:f>
        <x:v>8.2</x:v>
      </x:c>
      <x:c r="F81" s="59" t="str">
        <x:v>신흥동 6164</x:v>
      </x:c>
      <x:c r="G81" s="59" t="str"/>
      <x:c r="H81" s="59" t="n">
        <x:v>0</x:v>
      </x:c>
      <x:c r="I81" s="68" t="n">
        <x:v>34.38</x:v>
      </x:c>
      <x:c r="J81" s="68"/>
      <x:c r="K81" s="68"/>
      <x:c r="L81" s="78"/>
    </x:row>
    <x:row r="82">
      <x:c r="A82" s="58" t="str">
        <x:v>신흥1구역</x:v>
      </x:c>
      <x:c r="B82" s="59" t="n">
        <x:v>3947316</x:v>
      </x:c>
      <x:c r="C82" s="59" t="str">
        <x:v>공개값 미표기</x:v>
      </x:c>
      <x:c r="D82" s="64" t="n">
        <x:v>80000</x:v>
      </x:c>
      <x:c r="E82" s="66" t="n">
        <x:f>D82/10000</x:f>
        <x:v>8</x:v>
      </x:c>
      <x:c r="F82" s="59" t="str">
        <x:v>신흥동 6489</x:v>
      </x:c>
      <x:c r="G82" s="59" t="str"/>
      <x:c r="H82" s="59" t="n">
        <x:v>1</x:v>
      </x:c>
      <x:c r="I82" s="68"/>
      <x:c r="J82" s="68"/>
      <x:c r="K82" s="68" t="n">
        <x:v>25.78</x:v>
      </x:c>
      <x:c r="L82" s="78" t="n">
        <x:v>24700</x:v>
      </x:c>
    </x:row>
    <x:row r="83">
      <x:c r="A83" s="58" t="str">
        <x:v>신흥3구역</x:v>
      </x:c>
      <x:c r="B83" s="59" t="n">
        <x:v>4193645</x:v>
      </x:c>
      <x:c r="C83" s="59" t="str">
        <x:v>공개값 미표기</x:v>
      </x:c>
      <x:c r="D83" s="64" t="n">
        <x:v>175000</x:v>
      </x:c>
      <x:c r="E83" s="66" t="n">
        <x:f>D83/10000</x:f>
        <x:v>17.5</x:v>
      </x:c>
      <x:c r="F83" s="59" t="str">
        <x:v>신흥동 2578</x:v>
      </x:c>
      <x:c r="G83" s="59" t="str"/>
      <x:c r="H83" s="59"/>
      <x:c r="I83" s="68" t="n">
        <x:v>328.64</x:v>
      </x:c>
      <x:c r="J83" s="68"/>
      <x:c r="K83" s="68"/>
      <x:c r="L83" s="78"/>
    </x:row>
    <x:row r="84">
      <x:c r="A84" s="58" t="str">
        <x:v>신흥3구역</x:v>
      </x:c>
      <x:c r="B84" s="59" t="n">
        <x:v>4597138</x:v>
      </x:c>
      <x:c r="C84" s="59" t="str">
        <x:v>공개값 미표기</x:v>
      </x:c>
      <x:c r="D84" s="64" t="n">
        <x:v>160000</x:v>
      </x:c>
      <x:c r="E84" s="66" t="n">
        <x:f>D84/10000</x:f>
        <x:v>16</x:v>
      </x:c>
      <x:c r="F84" s="59" t="str">
        <x:v>신흥동 2617-5</x:v>
      </x:c>
      <x:c r="G84" s="59" t="str"/>
      <x:c r="H84" s="59"/>
      <x:c r="I84" s="68" t="n">
        <x:v>188.72</x:v>
      </x:c>
      <x:c r="J84" s="68"/>
      <x:c r="K84" s="68"/>
      <x:c r="L84" s="78"/>
    </x:row>
    <x:row r="85">
      <x:c r="A85" s="58" t="str">
        <x:v>신흥3구역</x:v>
      </x:c>
      <x:c r="B85" s="59" t="n">
        <x:v>3947337</x:v>
      </x:c>
      <x:c r="C85" s="59" t="str">
        <x:v>공개값 미표기</x:v>
      </x:c>
      <x:c r="D85" s="64" t="n">
        <x:v>130000</x:v>
      </x:c>
      <x:c r="E85" s="66" t="n">
        <x:f>D85/10000</x:f>
        <x:v>13</x:v>
      </x:c>
      <x:c r="F85" s="59" t="str">
        <x:v>신흥동 2798-3</x:v>
      </x:c>
      <x:c r="G85" s="59" t="str"/>
      <x:c r="H85" s="59"/>
      <x:c r="I85" s="68" t="n">
        <x:v>224.87</x:v>
      </x:c>
      <x:c r="J85" s="68"/>
      <x:c r="K85" s="68"/>
      <x:c r="L85" s="78"/>
    </x:row>
    <x:row r="86">
      <x:c r="A86" s="58" t="str">
        <x:v>신흥3구역</x:v>
      </x:c>
      <x:c r="B86" s="59" t="n">
        <x:v>3592824</x:v>
      </x:c>
      <x:c r="C86" s="59" t="str">
        <x:v>공개값 미표기</x:v>
      </x:c>
      <x:c r="D86" s="64" t="n">
        <x:v>130000</x:v>
      </x:c>
      <x:c r="E86" s="66" t="n">
        <x:f>D86/10000</x:f>
        <x:v>13</x:v>
      </x:c>
      <x:c r="F86" s="59" t="str">
        <x:v>신흥동 2618</x:v>
      </x:c>
      <x:c r="G86" s="59" t="str"/>
      <x:c r="H86" s="59"/>
      <x:c r="I86" s="68" t="n">
        <x:v>181.11</x:v>
      </x:c>
      <x:c r="J86" s="68"/>
      <x:c r="K86" s="68"/>
      <x:c r="L86" s="78"/>
    </x:row>
    <x:row r="87">
      <x:c r="A87" s="58" t="str">
        <x:v>신흥3구역</x:v>
      </x:c>
      <x:c r="B87" s="59" t="n">
        <x:v>3707249</x:v>
      </x:c>
      <x:c r="C87" s="59" t="str">
        <x:v>공개값 미표기</x:v>
      </x:c>
      <x:c r="D87" s="64" t="n">
        <x:v>125000</x:v>
      </x:c>
      <x:c r="E87" s="66" t="n">
        <x:f>D87/10000</x:f>
        <x:v>12.5</x:v>
      </x:c>
      <x:c r="F87" s="59" t="str">
        <x:v>신흥동 3251</x:v>
      </x:c>
      <x:c r="G87" s="59" t="str"/>
      <x:c r="H87" s="59"/>
      <x:c r="I87" s="68" t="n">
        <x:v>150.56</x:v>
      </x:c>
      <x:c r="J87" s="68"/>
      <x:c r="K87" s="68"/>
      <x:c r="L87" s="78"/>
    </x:row>
    <x:row r="88">
      <x:c r="A88" s="58" t="str">
        <x:v>신흥3구역</x:v>
      </x:c>
      <x:c r="B88" s="59" t="n">
        <x:v>4368568</x:v>
      </x:c>
      <x:c r="C88" s="59" t="str">
        <x:v>공개값 미표기</x:v>
      </x:c>
      <x:c r="D88" s="64" t="n">
        <x:v>120000</x:v>
      </x:c>
      <x:c r="E88" s="66" t="n">
        <x:f>D88/10000</x:f>
        <x:v>12</x:v>
      </x:c>
      <x:c r="F88" s="59" t="str">
        <x:v>신흥동 2800-15</x:v>
      </x:c>
      <x:c r="G88" s="59" t="str"/>
      <x:c r="H88" s="59"/>
      <x:c r="I88" s="68" t="n">
        <x:v>177.57</x:v>
      </x:c>
      <x:c r="J88" s="68"/>
      <x:c r="K88" s="68"/>
      <x:c r="L88" s="78"/>
    </x:row>
    <x:row r="89">
      <x:c r="A89" s="58" t="str">
        <x:v>신흥3구역</x:v>
      </x:c>
      <x:c r="B89" s="59" t="n">
        <x:v>3592826</x:v>
      </x:c>
      <x:c r="C89" s="59" t="str">
        <x:v>공개값 미표기</x:v>
      </x:c>
      <x:c r="D89" s="64" t="n">
        <x:v>120000</x:v>
      </x:c>
      <x:c r="E89" s="66" t="n">
        <x:f>D89/10000</x:f>
        <x:v>12</x:v>
      </x:c>
      <x:c r="F89" s="59" t="str">
        <x:v>신흥동 2813-3</x:v>
      </x:c>
      <x:c r="G89" s="59" t="str"/>
      <x:c r="H89" s="59"/>
      <x:c r="I89" s="68" t="n">
        <x:v>212.2</x:v>
      </x:c>
      <x:c r="J89" s="68"/>
      <x:c r="K89" s="68"/>
      <x:c r="L89" s="78"/>
    </x:row>
    <x:row r="90">
      <x:c r="A90" s="58" t="str">
        <x:v>신흥3구역</x:v>
      </x:c>
      <x:c r="B90" s="59" t="n">
        <x:v>4457374</x:v>
      </x:c>
      <x:c r="C90" s="59" t="str">
        <x:v>공개값 미표기</x:v>
      </x:c>
      <x:c r="D90" s="64" t="n">
        <x:v>100000</x:v>
      </x:c>
      <x:c r="E90" s="66" t="n">
        <x:f>D90/10000</x:f>
        <x:v>10</x:v>
      </x:c>
      <x:c r="F90" s="59" t="str">
        <x:v>신흥동 3587</x:v>
      </x:c>
      <x:c r="G90" s="59" t="str"/>
      <x:c r="H90" s="59"/>
      <x:c r="I90" s="68" t="n">
        <x:v>103.6</x:v>
      </x:c>
      <x:c r="J90" s="68"/>
      <x:c r="K90" s="68"/>
      <x:c r="L90" s="78"/>
    </x:row>
    <x:row r="91">
      <x:c r="A91" s="58" t="str">
        <x:v>신흥3구역</x:v>
      </x:c>
      <x:c r="B91" s="59" t="n">
        <x:v>4193644</x:v>
      </x:c>
      <x:c r="C91" s="59" t="str">
        <x:v>공개값 미표기</x:v>
      </x:c>
      <x:c r="D91" s="64" t="n">
        <x:v>100000</x:v>
      </x:c>
      <x:c r="E91" s="66" t="n">
        <x:f>D91/10000</x:f>
        <x:v>10</x:v>
      </x:c>
      <x:c r="F91" s="59" t="str">
        <x:v>신흥동 3466</x:v>
      </x:c>
      <x:c r="G91" s="59" t="str"/>
      <x:c r="H91" s="59"/>
      <x:c r="I91" s="68" t="n">
        <x:v>106.06</x:v>
      </x:c>
      <x:c r="J91" s="68"/>
      <x:c r="K91" s="68"/>
      <x:c r="L91" s="78"/>
    </x:row>
    <x:row r="92">
      <x:c r="A92" s="58" t="str">
        <x:v>신흥3구역</x:v>
      </x:c>
      <x:c r="B92" s="59" t="n">
        <x:v>4047203</x:v>
      </x:c>
      <x:c r="C92" s="59" t="str">
        <x:v>공개값 미표기</x:v>
      </x:c>
      <x:c r="D92" s="64" t="n">
        <x:v>100000</x:v>
      </x:c>
      <x:c r="E92" s="66" t="n">
        <x:f>D92/10000</x:f>
        <x:v>10</x:v>
      </x:c>
      <x:c r="F92" s="59" t="str">
        <x:v>신흥동 3652</x:v>
      </x:c>
      <x:c r="G92" s="59" t="str"/>
      <x:c r="H92" s="59"/>
      <x:c r="I92" s="68" t="n">
        <x:v>121.6</x:v>
      </x:c>
      <x:c r="J92" s="68"/>
      <x:c r="K92" s="68"/>
      <x:c r="L92" s="78"/>
    </x:row>
    <x:row r="93">
      <x:c r="A93" s="58" t="str">
        <x:v>신흥3구역</x:v>
      </x:c>
      <x:c r="B93" s="59" t="n">
        <x:v>4368501</x:v>
      </x:c>
      <x:c r="C93" s="59" t="str">
        <x:v>공개값 미표기</x:v>
      </x:c>
      <x:c r="D93" s="64" t="n">
        <x:v>98000</x:v>
      </x:c>
      <x:c r="E93" s="66" t="n">
        <x:f>D93/10000</x:f>
        <x:v>9.8</x:v>
      </x:c>
      <x:c r="F93" s="59" t="str">
        <x:v>신흥동 3548</x:v>
      </x:c>
      <x:c r="G93" s="59" t="str"/>
      <x:c r="H93" s="59"/>
      <x:c r="I93" s="68" t="n">
        <x:v>169.76</x:v>
      </x:c>
      <x:c r="J93" s="68"/>
      <x:c r="K93" s="68"/>
      <x:c r="L93" s="78"/>
    </x:row>
    <x:row r="94">
      <x:c r="A94" s="58" t="str">
        <x:v>신흥3구역</x:v>
      </x:c>
      <x:c r="B94" s="59" t="n">
        <x:v>4368484</x:v>
      </x:c>
      <x:c r="C94" s="59" t="str">
        <x:v>공개값 미표기</x:v>
      </x:c>
      <x:c r="D94" s="64" t="n">
        <x:v>95000</x:v>
      </x:c>
      <x:c r="E94" s="66" t="n">
        <x:f>D94/10000</x:f>
        <x:v>9.5</x:v>
      </x:c>
      <x:c r="F94" s="59" t="str">
        <x:v>신흥동 2917</x:v>
      </x:c>
      <x:c r="G94" s="59" t="str"/>
      <x:c r="H94" s="59"/>
      <x:c r="I94" s="68" t="n">
        <x:v>118.61</x:v>
      </x:c>
      <x:c r="J94" s="68"/>
      <x:c r="K94" s="68"/>
      <x:c r="L94" s="78"/>
    </x:row>
    <x:row r="95">
      <x:c r="A95" s="58" t="str">
        <x:v>신흥3구역</x:v>
      </x:c>
      <x:c r="B95" s="59" t="n">
        <x:v>4525415</x:v>
      </x:c>
      <x:c r="C95" s="59" t="str">
        <x:v>공개값 미표기</x:v>
      </x:c>
      <x:c r="D95" s="64" t="n">
        <x:v>92000</x:v>
      </x:c>
      <x:c r="E95" s="66" t="n">
        <x:f>D95/10000</x:f>
        <x:v>9.2</x:v>
      </x:c>
      <x:c r="F95" s="59" t="str">
        <x:v>신흥동 2573-1</x:v>
      </x:c>
      <x:c r="G95" s="59" t="str"/>
      <x:c r="H95" s="59" t="n">
        <x:v>2</x:v>
      </x:c>
      <x:c r="I95" s="68"/>
      <x:c r="J95" s="68"/>
      <x:c r="K95" s="68"/>
      <x:c r="L95" s="78"/>
    </x:row>
    <x:row r="96">
      <x:c r="A96" s="58" t="str">
        <x:v>신흥3구역</x:v>
      </x:c>
      <x:c r="B96" s="59" t="n">
        <x:v>4368495</x:v>
      </x:c>
      <x:c r="C96" s="59" t="str">
        <x:v>공개값 미표기</x:v>
      </x:c>
      <x:c r="D96" s="64" t="n">
        <x:v>90000</x:v>
      </x:c>
      <x:c r="E96" s="66" t="n">
        <x:f>D96/10000</x:f>
        <x:v>9</x:v>
      </x:c>
      <x:c r="F96" s="59" t="str">
        <x:v>신흥동 4086</x:v>
      </x:c>
      <x:c r="G96" s="59" t="str"/>
      <x:c r="H96" s="59" t="n">
        <x:v>0</x:v>
      </x:c>
      <x:c r="I96" s="68" t="n">
        <x:v>68.23</x:v>
      </x:c>
      <x:c r="J96" s="68"/>
      <x:c r="K96" s="68"/>
      <x:c r="L96" s="78"/>
    </x:row>
    <x:row r="97">
      <x:c r="A97" s="58" t="str">
        <x:v>신흥3구역</x:v>
      </x:c>
      <x:c r="B97" s="59" t="n">
        <x:v>3986227</x:v>
      </x:c>
      <x:c r="C97" s="59" t="str">
        <x:v>공개값 미표기</x:v>
      </x:c>
      <x:c r="D97" s="64" t="n">
        <x:v>90000</x:v>
      </x:c>
      <x:c r="E97" s="66" t="n">
        <x:f>D97/10000</x:f>
        <x:v>9</x:v>
      </x:c>
      <x:c r="F97" s="59" t="str">
        <x:v>신흥동 4103</x:v>
      </x:c>
      <x:c r="G97" s="59" t="str"/>
      <x:c r="H97" s="59"/>
      <x:c r="I97" s="68" t="n">
        <x:v>104.18</x:v>
      </x:c>
      <x:c r="J97" s="68"/>
      <x:c r="K97" s="68"/>
      <x:c r="L97" s="78"/>
    </x:row>
    <x:row r="98">
      <x:c r="A98" s="58" t="str">
        <x:v>신흥3구역</x:v>
      </x:c>
      <x:c r="B98" s="59" t="n">
        <x:v>3592825</x:v>
      </x:c>
      <x:c r="C98" s="59" t="str">
        <x:v>공개값 미표기</x:v>
      </x:c>
      <x:c r="D98" s="64" t="n">
        <x:v>90000</x:v>
      </x:c>
      <x:c r="E98" s="66" t="n">
        <x:f>D98/10000</x:f>
        <x:v>9</x:v>
      </x:c>
      <x:c r="F98" s="59" t="str">
        <x:v>신흥동 2644</x:v>
      </x:c>
      <x:c r="G98" s="59" t="str"/>
      <x:c r="H98" s="59" t="n">
        <x:v>1</x:v>
      </x:c>
      <x:c r="I98" s="68"/>
      <x:c r="J98" s="68"/>
      <x:c r="K98" s="68"/>
      <x:c r="L98" s="78"/>
    </x:row>
    <x:row r="99">
      <x:c r="A99" s="58" t="str">
        <x:v>신흥3구역</x:v>
      </x:c>
      <x:c r="B99" s="59" t="n">
        <x:v>3748706</x:v>
      </x:c>
      <x:c r="C99" s="59" t="str">
        <x:v>공개값 미표기</x:v>
      </x:c>
      <x:c r="D99" s="64" t="n">
        <x:v>85500</x:v>
      </x:c>
      <x:c r="E99" s="66" t="n">
        <x:f>D99/10000</x:f>
        <x:v>8.55</x:v>
      </x:c>
      <x:c r="F99" s="59" t="str">
        <x:v>신흥동 3520</x:v>
      </x:c>
      <x:c r="G99" s="59" t="str"/>
      <x:c r="H99" s="59"/>
      <x:c r="I99" s="68" t="n">
        <x:v>100.67</x:v>
      </x:c>
      <x:c r="J99" s="68"/>
      <x:c r="K99" s="68"/>
      <x:c r="L99" s="78"/>
    </x:row>
    <x:row r="100">
      <x:c r="A100" s="58" t="str">
        <x:v>신흥3구역</x:v>
      </x:c>
      <x:c r="B100" s="59" t="n">
        <x:v>3947379</x:v>
      </x:c>
      <x:c r="C100" s="59" t="str">
        <x:v>공개값 미표기</x:v>
      </x:c>
      <x:c r="D100" s="64" t="n">
        <x:v>84500</x:v>
      </x:c>
      <x:c r="E100" s="66" t="n">
        <x:f>D100/10000</x:f>
        <x:v>8.45</x:v>
      </x:c>
      <x:c r="F100" s="59" t="str">
        <x:v>신흥동 2642</x:v>
      </x:c>
      <x:c r="G100" s="59" t="str"/>
      <x:c r="H100" s="59" t="n">
        <x:v>1</x:v>
      </x:c>
      <x:c r="I100" s="68"/>
      <x:c r="J100" s="68"/>
      <x:c r="K100" s="68"/>
      <x:c r="L100" s="78"/>
    </x:row>
    <x:row r="101">
      <x:c r="A101" s="58" t="str">
        <x:v>신흥3구역</x:v>
      </x:c>
      <x:c r="B101" s="59" t="n">
        <x:v>3592828</x:v>
      </x:c>
      <x:c r="C101" s="59" t="str">
        <x:v>공개값 미표기</x:v>
      </x:c>
      <x:c r="D101" s="64" t="n">
        <x:v>75000</x:v>
      </x:c>
      <x:c r="E101" s="66" t="n">
        <x:f>D101/10000</x:f>
        <x:v>7.5</x:v>
      </x:c>
      <x:c r="F101" s="59" t="str">
        <x:v>신흥동 3094</x:v>
      </x:c>
      <x:c r="G101" s="59" t="str"/>
      <x:c r="H101" s="59"/>
      <x:c r="I101" s="68" t="n">
        <x:v>59.14</x:v>
      </x:c>
      <x:c r="J101" s="68"/>
      <x:c r="K101" s="68"/>
      <x:c r="L101" s="78"/>
    </x:row>
    <x:row r="102">
      <x:c r="A102" s="27" t="str">
        <x:v>신흥3구역</x:v>
      </x:c>
      <x:c r="B102" s="28" t="n">
        <x:v>3873738</x:v>
      </x:c>
      <x:c r="C102" s="28" t="str">
        <x:v>공개값 미표기</x:v>
      </x:c>
      <x:c r="D102" s="31" t="n">
        <x:v>49000</x:v>
      </x:c>
      <x:c r="E102" s="67" t="n">
        <x:f>D102/10000</x:f>
        <x:v>4.9</x:v>
      </x:c>
      <x:c r="F102" s="28" t="str">
        <x:v>신흥동 3839</x:v>
      </x:c>
      <x:c r="G102" s="28" t="str"/>
      <x:c r="H102" s="28" t="n">
        <x:v>11</x:v>
      </x:c>
      <x:c r="I102" s="33"/>
      <x:c r="J102" s="33"/>
      <x:c r="K102" s="33" t="n">
        <x:v>15.51</x:v>
      </x:c>
      <x:c r="L102" s="79" t="n">
        <x:v>34900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2" hidden="0" customWidth="1"/>
    <x:col min="8" max="8" width="17" hidden="0" customWidth="1"/>
    <x:col min="9" max="9" width="13" hidden="0" customWidth="1"/>
    <x:col min="10" max="10" width="13" hidden="0" customWidth="1"/>
    <x:col min="11" max="11" width="15" hidden="0" customWidth="1"/>
    <x:col min="12" max="12" width="14" hidden="0" customWidth="1"/>
    <x:col min="13" max="13" width="15" hidden="0" customWidth="1"/>
    <x:col min="14" max="14" width="26" hidden="0" customWidth="1"/>
    <x:col min="15" max="15" width="38" hidden="0" customWidth="1"/>
  </x:cols>
  <x:sheetData>
    <x:row r="1" ht="30" customHeight="1">
      <x:c r="A1" s="4" t="str">
        <x:v>네이버부동산 | 구역명 명시 매물 확인이력</x:v>
      </x:c>
      <x:c r="B1" s="4" t="str">
        <x:v>네이버부동산 | 구역명 명시 매물 확인이력</x:v>
      </x:c>
      <x:c r="C1" s="4" t="str">
        <x:v>네이버부동산 | 구역명 명시 매물 확인이력</x:v>
      </x:c>
      <x:c r="D1" s="4" t="str">
        <x:v>네이버부동산 | 구역명 명시 매물 확인이력</x:v>
      </x:c>
      <x:c r="E1" s="4" t="str">
        <x:v>네이버부동산 | 구역명 명시 매물 확인이력</x:v>
      </x:c>
      <x:c r="F1" s="4" t="str">
        <x:v>네이버부동산 | 구역명 명시 매물 확인이력</x:v>
      </x:c>
      <x:c r="G1" s="4" t="str">
        <x:v>네이버부동산 | 구역명 명시 매물 확인이력</x:v>
      </x:c>
      <x:c r="H1" s="4" t="str">
        <x:v>네이버부동산 | 구역명 명시 매물 확인이력</x:v>
      </x:c>
      <x:c r="I1" s="4" t="str">
        <x:v>네이버부동산 | 구역명 명시 매물 확인이력</x:v>
      </x:c>
      <x:c r="J1" s="4" t="str">
        <x:v>네이버부동산 | 구역명 명시 매물 확인이력</x:v>
      </x:c>
      <x:c r="K1" s="4" t="str">
        <x:v>네이버부동산 | 구역명 명시 매물 확인이력</x:v>
      </x:c>
      <x:c r="L1" s="4" t="str">
        <x:v>네이버부동산 | 구역명 명시 매물 확인이력</x:v>
      </x:c>
      <x:c r="M1" s="4" t="str">
        <x:v>네이버부동산 | 구역명 명시 매물 확인이력</x:v>
      </x:c>
      <x:c r="N1" s="4" t="str">
        <x:v>네이버부동산 | 구역명 명시 매물 확인이력</x:v>
      </x:c>
      <x:c r="O1" s="4" t="str">
        <x:v>네이버부동산 | 구역명 명시 매물 확인이력</x:v>
      </x:c>
    </x:row>
    <x:row r="2" ht="34" customHeight="1">
      <x:c r="A2" s="8" t="str">
        <x:v>2025년 개별 매물 상세페이지에서 구역명이 명시된 사례만 정리했습니다. 현재 매물 여부·가격 유지는 보장되지 않으며, "공시가격 차액"은 재개발 프리미엄이 아닙니다.</x:v>
      </x:c>
      <x:c r="B2" s="8" t="str">
        <x:v>2025년 개별 매물 상세페이지에서 구역명이 명시된 사례만 정리했습니다. 현재 매물 여부·가격 유지는 보장되지 않으며, "공시가격 차액"은 재개발 프리미엄이 아닙니다.</x:v>
      </x:c>
      <x:c r="C2" s="8" t="str">
        <x:v>2025년 개별 매물 상세페이지에서 구역명이 명시된 사례만 정리했습니다. 현재 매물 여부·가격 유지는 보장되지 않으며, "공시가격 차액"은 재개발 프리미엄이 아닙니다.</x:v>
      </x:c>
      <x:c r="D2" s="8" t="str">
        <x:v>2025년 개별 매물 상세페이지에서 구역명이 명시된 사례만 정리했습니다. 현재 매물 여부·가격 유지는 보장되지 않으며, "공시가격 차액"은 재개발 프리미엄이 아닙니다.</x:v>
      </x:c>
      <x:c r="E2" s="8" t="str">
        <x:v>2025년 개별 매물 상세페이지에서 구역명이 명시된 사례만 정리했습니다. 현재 매물 여부·가격 유지는 보장되지 않으며, "공시가격 차액"은 재개발 프리미엄이 아닙니다.</x:v>
      </x:c>
      <x:c r="F2" s="8" t="str">
        <x:v>2025년 개별 매물 상세페이지에서 구역명이 명시된 사례만 정리했습니다. 현재 매물 여부·가격 유지는 보장되지 않으며, "공시가격 차액"은 재개발 프리미엄이 아닙니다.</x:v>
      </x:c>
      <x:c r="G2" s="8" t="str">
        <x:v>2025년 개별 매물 상세페이지에서 구역명이 명시된 사례만 정리했습니다. 현재 매물 여부·가격 유지는 보장되지 않으며, "공시가격 차액"은 재개발 프리미엄이 아닙니다.</x:v>
      </x:c>
      <x:c r="H2" s="8" t="str">
        <x:v>2025년 개별 매물 상세페이지에서 구역명이 명시된 사례만 정리했습니다. 현재 매물 여부·가격 유지는 보장되지 않으며, "공시가격 차액"은 재개발 프리미엄이 아닙니다.</x:v>
      </x:c>
      <x:c r="I2" s="8" t="str">
        <x:v>2025년 개별 매물 상세페이지에서 구역명이 명시된 사례만 정리했습니다. 현재 매물 여부·가격 유지는 보장되지 않으며, "공시가격 차액"은 재개발 프리미엄이 아닙니다.</x:v>
      </x:c>
      <x:c r="J2" s="8" t="str">
        <x:v>2025년 개별 매물 상세페이지에서 구역명이 명시된 사례만 정리했습니다. 현재 매물 여부·가격 유지는 보장되지 않으며, "공시가격 차액"은 재개발 프리미엄이 아닙니다.</x:v>
      </x:c>
      <x:c r="K2" s="8" t="str">
        <x:v>2025년 개별 매물 상세페이지에서 구역명이 명시된 사례만 정리했습니다. 현재 매물 여부·가격 유지는 보장되지 않으며, "공시가격 차액"은 재개발 프리미엄이 아닙니다.</x:v>
      </x:c>
      <x:c r="L2" s="8" t="str">
        <x:v>2025년 개별 매물 상세페이지에서 구역명이 명시된 사례만 정리했습니다. 현재 매물 여부·가격 유지는 보장되지 않으며, "공시가격 차액"은 재개발 프리미엄이 아닙니다.</x:v>
      </x:c>
      <x:c r="M2" s="8" t="str">
        <x:v>2025년 개별 매물 상세페이지에서 구역명이 명시된 사례만 정리했습니다. 현재 매물 여부·가격 유지는 보장되지 않으며, "공시가격 차액"은 재개발 프리미엄이 아닙니다.</x:v>
      </x:c>
      <x:c r="N2" s="8" t="str">
        <x:v>2025년 개별 매물 상세페이지에서 구역명이 명시된 사례만 정리했습니다. 현재 매물 여부·가격 유지는 보장되지 않으며, "공시가격 차액"은 재개발 프리미엄이 아닙니다.</x:v>
      </x:c>
      <x:c r="O2" s="8" t="str">
        <x:v>2025년 개별 매물 상세페이지에서 구역명이 명시된 사례만 정리했습니다. 현재 매물 여부·가격 유지는 보장되지 않으며, "공시가격 차액"은 재개발 프리미엄이 아닙니다.</x:v>
      </x:c>
    </x:row>
    <x:row r="5" ht="30" customHeight="1">
      <x:c r="A5" s="17" t="str">
        <x:v>구역</x:v>
      </x:c>
      <x:c r="B5" s="17" t="str">
        <x:v>확인일</x:v>
      </x:c>
      <x:c r="C5" s="17" t="str">
        <x:v>매물번호</x:v>
      </x:c>
      <x:c r="D5" s="17" t="str">
        <x:v>유형</x:v>
      </x:c>
      <x:c r="E5" s="17" t="str">
        <x:v>호가
(만원)</x:v>
      </x:c>
      <x:c r="F5" s="17" t="str">
        <x:v>보증금
(만원)</x:v>
      </x:c>
      <x:c r="G5" s="17" t="str">
        <x:v>월세
(만원)</x:v>
      </x:c>
      <x:c r="H5" s="17" t="str">
        <x:v>광고 표기
초투입금(만원)</x:v>
      </x:c>
      <x:c r="I5" s="17" t="str">
        <x:v>대지면적
(㎡)</x:v>
      </x:c>
      <x:c r="J5" s="17" t="str">
        <x:v>대지면적
(평)</x:v>
      </x:c>
      <x:c r="K5" s="17" t="str">
        <x:v>호가 평당
(만원/평)</x:v>
      </x:c>
      <x:c r="L5" s="17" t="str">
        <x:v>공시가격
(만원)</x:v>
      </x:c>
      <x:c r="M5" s="17" t="str">
        <x:v>공시가격 차액
(억원)</x:v>
      </x:c>
      <x:c r="N5" s="17" t="str">
        <x:v>상태</x:v>
      </x:c>
      <x:c r="O5" s="17" t="str">
        <x:v>원문 URL</x:v>
      </x:c>
    </x:row>
    <x:row r="6">
      <x:c r="A6" s="24" t="str">
        <x:v>신흥1구역</x:v>
      </x:c>
      <x:c r="B6" s="61" t="n">
        <x:v>45805</x:v>
      </x:c>
      <x:c r="C6" s="25" t="str">
        <x:v>2528723018</x:v>
      </x:c>
      <x:c r="D6" s="25" t="str">
        <x:v>단독/다가구</x:v>
      </x:c>
      <x:c r="E6" s="30" t="n">
        <x:v>68000</x:v>
      </x:c>
      <x:c r="F6" s="30" t="n">
        <x:v>7800</x:v>
      </x:c>
      <x:c r="G6" s="30" t="n">
        <x:v>70</x:v>
      </x:c>
      <x:c r="H6" s="30"/>
      <x:c r="I6" s="30" t="n">
        <x:v>72.1</x:v>
      </x:c>
      <x:c r="J6" s="32" t="n">
        <x:f>IFERROR(I6/3.305785,"")</x:f>
        <x:v>21.810250817884402</x:v>
      </x:c>
      <x:c r="K6" s="32" t="n">
        <x:f>IFERROR(E6/J6,"")</x:f>
        <x:v>3117.8000000000006</x:v>
      </x:c>
      <x:c r="L6" s="30"/>
      <x:c r="M6" s="65" t="n">
        <x:f>IFERROR((E6-L6)/10000,"")</x:f>
        <x:v>6.8</x:v>
      </x:c>
      <x:c r="N6" s="25" t="str">
        <x:v>과거 확인 / 현행 여부 미확인</x:v>
      </x:c>
      <x:c r="O6" s="72" t="str">
        <x:v>https://fin.land.naver.com/articles/2528723018</x:v>
      </x:c>
    </x:row>
    <x:row r="7">
      <x:c r="A7" s="58" t="str">
        <x:v>신흥3구역</x:v>
      </x:c>
      <x:c r="B7" s="62" t="n">
        <x:v>45789</x:v>
      </x:c>
      <x:c r="C7" s="59" t="str">
        <x:v>2525197013</x:v>
      </x:c>
      <x:c r="D7" s="59" t="str">
        <x:v>다세대</x:v>
      </x:c>
      <x:c r="E7" s="64" t="n">
        <x:v>120000</x:v>
      </x:c>
      <x:c r="F7" s="64" t="n">
        <x:v>25000</x:v>
      </x:c>
      <x:c r="G7" s="64" t="n">
        <x:v>0</x:v>
      </x:c>
      <x:c r="H7" s="64"/>
      <x:c r="I7" s="64" t="n">
        <x:v>53.25</x:v>
      </x:c>
      <x:c r="J7" s="68" t="n">
        <x:f>IFERROR(I7/3.305785,"")</x:f>
        <x:v>16.10812560405471</x:v>
      </x:c>
      <x:c r="K7" s="68" t="n">
        <x:f>IFERROR(E7/J7,"")</x:f>
        <x:v>7449.65633802817</x:v>
      </x:c>
      <x:c r="L7" s="64" t="n">
        <x:v>44300</x:v>
      </x:c>
      <x:c r="M7" s="66" t="n">
        <x:f>IFERROR((E7-L7)/10000,"")</x:f>
        <x:v>7.57</x:v>
      </x:c>
      <x:c r="N7" s="59" t="str">
        <x:v>과거 확인 / 현행 여부 미확인</x:v>
      </x:c>
      <x:c r="O7" s="73" t="str">
        <x:v>https://fin.land.naver.com/articles/2525197013</x:v>
      </x:c>
    </x:row>
    <x:row r="8">
      <x:c r="A8" s="58" t="str">
        <x:v>신흥3구역</x:v>
      </x:c>
      <x:c r="B8" s="62" t="n">
        <x:v>45818</x:v>
      </x:c>
      <x:c r="C8" s="59" t="str">
        <x:v>2531179199</x:v>
      </x:c>
      <x:c r="D8" s="59" t="str">
        <x:v>다가구</x:v>
      </x:c>
      <x:c r="E8" s="64" t="n">
        <x:v>62000</x:v>
      </x:c>
      <x:c r="F8" s="64" t="n">
        <x:v>24000</x:v>
      </x:c>
      <x:c r="G8" s="64" t="n">
        <x:v>0</x:v>
      </x:c>
      <x:c r="H8" s="64" t="n">
        <x:v>38000</x:v>
      </x:c>
      <x:c r="I8" s="64" t="n">
        <x:v>62.5</x:v>
      </x:c>
      <x:c r="J8" s="68" t="n">
        <x:f>IFERROR(I8/3.305785,"")</x:f>
        <x:v>18.906250708984402</x:v>
      </x:c>
      <x:c r="K8" s="68" t="n">
        <x:f>IFERROR(E8/J8,"")</x:f>
        <x:v>3279.3387199999997</x:v>
      </x:c>
      <x:c r="L8" s="64" t="n">
        <x:v>23100</x:v>
      </x:c>
      <x:c r="M8" s="66" t="n">
        <x:f>IFERROR((E8-L8)/10000,"")</x:f>
        <x:v>3.89</x:v>
      </x:c>
      <x:c r="N8" s="59" t="str">
        <x:v>과거 확인 / 현행 여부 미확인</x:v>
      </x:c>
      <x:c r="O8" s="73" t="str">
        <x:v>https://fin.land.naver.com/articles/2531179199</x:v>
      </x:c>
    </x:row>
    <x:row r="9">
      <x:c r="A9" s="58" t="str">
        <x:v>신흥3구역</x:v>
      </x:c>
      <x:c r="B9" s="62" t="n">
        <x:v>45820</x:v>
      </x:c>
      <x:c r="C9" s="59" t="str">
        <x:v>2531686054</x:v>
      </x:c>
      <x:c r="D9" s="59" t="str">
        <x:v>단독/다가구</x:v>
      </x:c>
      <x:c r="E9" s="64" t="n">
        <x:v>65000</x:v>
      </x:c>
      <x:c r="F9" s="64" t="n">
        <x:v>24000</x:v>
      </x:c>
      <x:c r="G9" s="64" t="n">
        <x:v>0</x:v>
      </x:c>
      <x:c r="H9" s="64" t="n">
        <x:v>41000</x:v>
      </x:c>
      <x:c r="I9" s="64" t="n">
        <x:v>59.8</x:v>
      </x:c>
      <x:c r="J9" s="68" t="n">
        <x:f>IFERROR(I9/3.305785,"")</x:f>
        <x:v>18.089500678356274</x:v>
      </x:c>
      <x:c r="K9" s="68" t="n">
        <x:f>IFERROR(E9/J9,"")</x:f>
        <x:v>3593.2445652173915</x:v>
      </x:c>
      <x:c r="L9" s="64"/>
      <x:c r="M9" s="66" t="n">
        <x:f>IFERROR((E9-L9)/10000,"")</x:f>
        <x:v>6.5</x:v>
      </x:c>
      <x:c r="N9" s="59" t="str">
        <x:v>과거 확인 / 현행 여부 미확인</x:v>
      </x:c>
      <x:c r="O9" s="73" t="str">
        <x:v>https://fin.land.naver.com/articles/2531686054</x:v>
      </x:c>
    </x:row>
    <x:row r="10">
      <x:c r="A10" s="27" t="str">
        <x:v>신흥3구역</x:v>
      </x:c>
      <x:c r="B10" s="63" t="n">
        <x:v>45820</x:v>
      </x:c>
      <x:c r="C10" s="28" t="str">
        <x:v>2531686562</x:v>
      </x:c>
      <x:c r="D10" s="28" t="str">
        <x:v>단독</x:v>
      </x:c>
      <x:c r="E10" s="31" t="n">
        <x:v>120000</x:v>
      </x:c>
      <x:c r="F10" s="31" t="n">
        <x:v>24000</x:v>
      </x:c>
      <x:c r="G10" s="31" t="n">
        <x:v>150</x:v>
      </x:c>
      <x:c r="H10" s="31" t="n">
        <x:v>96000</x:v>
      </x:c>
      <x:c r="I10" s="31" t="n">
        <x:v>133.6</x:v>
      </x:c>
      <x:c r="J10" s="33" t="n">
        <x:f>IFERROR(I10/3.305785,"")</x:f>
        <x:v>40.41400151552505</x:v>
      </x:c>
      <x:c r="K10" s="33" t="n">
        <x:f>IFERROR(E10/J10,"")</x:f>
        <x:v>2969.2679640718566</x:v>
      </x:c>
      <x:c r="L10" s="31" t="n">
        <x:v>50600</x:v>
      </x:c>
      <x:c r="M10" s="67" t="n">
        <x:f>IFERROR((E10-L10)/10000,"")</x:f>
        <x:v>6.94</x:v>
      </x:c>
      <x:c r="N10" s="28" t="str">
        <x:v>과거 확인 / 현행 여부 미확인</x:v>
      </x:c>
      <x:c r="O10" s="74" t="str">
        <x:v>https://fin.land.naver.com/articles/2531686562</x:v>
      </x:c>
    </x:row>
    <x:row r="13" ht="22" customHeight="1">
      <x:c r="A13" s="11" t="str">
        <x:v>매물별 메모</x:v>
      </x:c>
      <x:c r="B13" s="11" t="str">
        <x:v>매물별 메모</x:v>
      </x:c>
      <x:c r="C13" s="11" t="str">
        <x:v>매물별 메모</x:v>
      </x:c>
      <x:c r="D13" s="11" t="str">
        <x:v>매물별 메모</x:v>
      </x:c>
      <x:c r="E13" s="11" t="str">
        <x:v>매물별 메모</x:v>
      </x:c>
      <x:c r="F13" s="11" t="str">
        <x:v>매물별 메모</x:v>
      </x:c>
      <x:c r="G13" s="11" t="str">
        <x:v>매물별 메모</x:v>
      </x:c>
      <x:c r="H13" s="11" t="str">
        <x:v>매물별 메모</x:v>
      </x:c>
      <x:c r="I13" s="11" t="str">
        <x:v>매물별 메모</x:v>
      </x:c>
      <x:c r="J13" s="11" t="str">
        <x:v>매물별 메모</x:v>
      </x:c>
      <x:c r="K13" s="11" t="str">
        <x:v>매물별 메모</x:v>
      </x:c>
      <x:c r="L13" s="11" t="str">
        <x:v>매물별 메모</x:v>
      </x:c>
      <x:c r="M13" s="11" t="str">
        <x:v>매물별 메모</x:v>
      </x:c>
      <x:c r="N13" s="11" t="str">
        <x:v>매물별 메모</x:v>
      </x:c>
      <x:c r="O13" s="11" t="str">
        <x:v>매물별 메모</x:v>
      </x:c>
    </x:row>
    <x:row r="14">
      <x:c r="A14" s="37" t="str">
        <x:v>구역</x:v>
      </x:c>
      <x:c r="B14" s="37" t="str">
        <x:v>매물번호</x:v>
      </x:c>
      <x:c r="C14" s="37" t="str">
        <x:v>메모</x:v>
      </x:c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</x:row>
    <x:row r="15" ht="34" customHeight="1">
      <x:c r="A15" s="38" t="str">
        <x:v>신흥1구역</x:v>
      </x:c>
      <x:c r="B15" s="38" t="str">
        <x:v>2528723018</x:v>
      </x:c>
      <x:c r="C15" s="38" t="str">
        <x:v>신흥1구역 명시 과거 확인 매물. 월세 포함으로 순투입금 비교 제외.</x:v>
      </x:c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</x:row>
    <x:row r="16" ht="34" customHeight="1">
      <x:c r="A16" s="38" t="str">
        <x:v>신흥3구역</x:v>
      </x:c>
      <x:c r="B16" s="38" t="str">
        <x:v>2525197013</x:v>
      </x:c>
      <x:c r="C16" s="38" t="str">
        <x:v>신흥3구역 명시 과거 확인 매물.</x:v>
      </x:c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</x:row>
    <x:row r="17" ht="34" customHeight="1">
      <x:c r="A17" s="38" t="str">
        <x:v>신흥3구역</x:v>
      </x:c>
      <x:c r="B17" s="38" t="str">
        <x:v>2531179199</x:v>
      </x:c>
      <x:c r="C17" s="38" t="str">
        <x:v>신흥3구역 명시 과거 확인 매물.</x:v>
      </x:c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</x:row>
    <x:row r="18" ht="34" customHeight="1">
      <x:c r="A18" s="38" t="str">
        <x:v>신흥3구역</x:v>
      </x:c>
      <x:c r="B18" s="38" t="str">
        <x:v>2531686054</x:v>
      </x:c>
      <x:c r="C18" s="38" t="str">
        <x:v>신흥3구역 명시 과거 확인 매물.</x:v>
      </x:c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</x:row>
    <x:row r="19" ht="34" customHeight="1">
      <x:c r="A19" s="38" t="str">
        <x:v>신흥3구역</x:v>
      </x:c>
      <x:c r="B19" s="38" t="str">
        <x:v>2531686562</x:v>
      </x:c>
      <x:c r="C19" s="38" t="str">
        <x:v>신흥3구역 명시 과거 확인 매물. 월세 포함이라 초투입금 평당 비교 제외.</x:v>
      </x:c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</x:row>
  </x:sheetData>
  <x:mergeCells>
    <x:mergeCell ref="A1:O1"/>
    <x:mergeCell ref="A2:O2"/>
    <x:mergeCell ref="A13:O13"/>
    <x:mergeCell ref="C14:O14"/>
    <x:mergeCell ref="C15:O15"/>
    <x:mergeCell ref="C16:O16"/>
    <x:mergeCell ref="C17:O17"/>
    <x:mergeCell ref="C18:O18"/>
    <x:mergeCell ref="C19:O1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6" hidden="0" customWidth="1"/>
    <x:col min="3" max="3" width="18" hidden="0" customWidth="1"/>
    <x:col min="4" max="4" width="32" hidden="0" customWidth="1"/>
    <x:col min="5" max="5" width="30" hidden="0" customWidth="1"/>
    <x:col min="6" max="6" width="30" hidden="0" customWidth="1"/>
  </x:cols>
  <x:sheetData>
    <x:row r="1" ht="30" customHeight="1">
      <x:c r="A1" s="4" t="str">
        <x:v>출처·방법·한계</x:v>
      </x:c>
      <x:c r="B1" s="4" t="str">
        <x:v>출처·방법·한계</x:v>
      </x:c>
      <x:c r="C1" s="4" t="str">
        <x:v>출처·방법·한계</x:v>
      </x:c>
      <x:c r="D1" s="4" t="str">
        <x:v>출처·방법·한계</x:v>
      </x:c>
      <x:c r="E1" s="4" t="str">
        <x:v>출처·방법·한계</x:v>
      </x:c>
      <x:c r="F1" s="4" t="str">
        <x:v>출처·방법·한계</x:v>
      </x:c>
    </x:row>
    <x:row r="2" ht="34" customHeight="1">
      <x:c r="A2" s="8" t="str">
        <x:v>실거래와 호가를 같은 개념으로 취급하지 않고, 출처별 기준일과 한계를 함께 기록합니다.</x:v>
      </x:c>
      <x:c r="B2" s="8" t="str">
        <x:v>실거래와 호가를 같은 개념으로 취급하지 않고, 출처별 기준일과 한계를 함께 기록합니다.</x:v>
      </x:c>
      <x:c r="C2" s="8" t="str">
        <x:v>실거래와 호가를 같은 개념으로 취급하지 않고, 출처별 기준일과 한계를 함께 기록합니다.</x:v>
      </x:c>
      <x:c r="D2" s="8" t="str">
        <x:v>실거래와 호가를 같은 개념으로 취급하지 않고, 출처별 기준일과 한계를 함께 기록합니다.</x:v>
      </x:c>
      <x:c r="E2" s="8" t="str">
        <x:v>실거래와 호가를 같은 개념으로 취급하지 않고, 출처별 기준일과 한계를 함께 기록합니다.</x:v>
      </x:c>
      <x:c r="F2" s="8" t="str">
        <x:v>실거래와 호가를 같은 개념으로 취급하지 않고, 출처별 기준일과 한계를 함께 기록합니다.</x:v>
      </x:c>
    </x:row>
    <x:row r="5" ht="30" customHeight="1">
      <x:c r="A5" s="17" t="str">
        <x:v>구분</x:v>
      </x:c>
      <x:c r="B5" s="17" t="str">
        <x:v>내용</x:v>
      </x:c>
      <x:c r="C5" s="17" t="str">
        <x:v>기준일</x:v>
      </x:c>
      <x:c r="D5" s="17" t="str">
        <x:v>URL</x:v>
      </x:c>
      <x:c r="E5" s="17" t="str">
        <x:v>사용 범위</x:v>
      </x:c>
      <x:c r="F5" s="17" t="str">
        <x:v>한계</x:v>
      </x:c>
    </x:row>
    <x:row r="6">
      <x:c r="A6" s="24" t="str">
        <x:v>실거래 원자료</x:v>
      </x:c>
      <x:c r="B6" s="25" t="str">
        <x:v>재개발닷컴 구역별 property-transactions 공개 응답, 각 최신 20건</x:v>
      </x:c>
      <x:c r="C6" s="61" t="n">
        <x:v>46267.125</x:v>
      </x:c>
      <x:c r="D6" s="75" t="str">
        <x:v>https://jaegebal.co.kr/develops/4027</x:v>
      </x:c>
      <x:c r="E6" s="25" t="str">
        <x:v>거래가·대지면적·공시가격·계약일 비교</x:v>
      </x:c>
      <x:c r="F6" s="26" t="str">
        <x:v>플랫폼 재가공 데이터이므로 계약 전 국토부 원문 확인 필요</x:v>
      </x:c>
    </x:row>
    <x:row r="7">
      <x:c r="A7" s="58" t="str">
        <x:v>실거래 원자료</x:v>
      </x:c>
      <x:c r="B7" s="59" t="str">
        <x:v>재개발닷컴 구역별 property-transactions 공개 응답, 각 최신 20건</x:v>
      </x:c>
      <x:c r="C7" s="62" t="n">
        <x:v>46267.125</x:v>
      </x:c>
      <x:c r="D7" s="80" t="str">
        <x:v>https://jaegebal.co.kr/develops/4072</x:v>
      </x:c>
      <x:c r="E7" s="59" t="str">
        <x:v>거래가·대지면적·공시가격·계약일 비교</x:v>
      </x:c>
      <x:c r="F7" s="60" t="str">
        <x:v>플랫폼 재가공 데이터이므로 계약 전 국토부 원문 확인 필요</x:v>
      </x:c>
    </x:row>
    <x:row r="8">
      <x:c r="A8" s="58" t="str">
        <x:v>법정 실거래 확인</x:v>
      </x:c>
      <x:c r="B8" s="59" t="str">
        <x:v>국토교통부 실거래가 공개시스템</x:v>
      </x:c>
      <x:c r="C8" s="62" t="n">
        <x:v>46267.125</x:v>
      </x:c>
      <x:c r="D8" s="80" t="str">
        <x:v>https://rt.molit.go.kr/pt/qut/qut.do</x:v>
      </x:c>
      <x:c r="E8" s="59" t="str">
        <x:v>계약일·취소·주소의 최종 대조</x:v>
      </x:c>
      <x:c r="F8" s="60" t="str">
        <x:v>원자료 조회 조건에 따라 확인 필요</x:v>
      </x:c>
    </x:row>
    <x:row r="9">
      <x:c r="A9" s="58" t="str">
        <x:v>현 호가 보조</x:v>
      </x:c>
      <x:c r="B9" s="59" t="str">
        <x:v>재개발닷컴 공개 호가 페이지</x:v>
      </x:c>
      <x:c r="C9" s="62" t="n">
        <x:v>46267.125</x:v>
      </x:c>
      <x:c r="D9" s="80" t="str">
        <x:v>https://jaegebal.co.kr/develops/4027/asks</x:v>
      </x:c>
      <x:c r="E9" s="59" t="str">
        <x:v>공개 호가 개수와 가격 분포</x:v>
      </x:c>
      <x:c r="F9" s="60" t="str">
        <x:v>호가이며 대지면적·공시가격이 비공개인 행 다수</x:v>
      </x:c>
    </x:row>
    <x:row r="10">
      <x:c r="A10" s="58" t="str">
        <x:v>현 호가 보조</x:v>
      </x:c>
      <x:c r="B10" s="59" t="str">
        <x:v>재개발닷컴 공개 호가 페이지</x:v>
      </x:c>
      <x:c r="C10" s="62" t="n">
        <x:v>46267.125</x:v>
      </x:c>
      <x:c r="D10" s="80" t="str">
        <x:v>https://jaegebal.co.kr/develops/4072/asks</x:v>
      </x:c>
      <x:c r="E10" s="59" t="str">
        <x:v>공개 호가 개수와 가격 분포</x:v>
      </x:c>
      <x:c r="F10" s="60" t="str">
        <x:v>호가이며 대지면적·공시가격이 비공개인 행 다수</x:v>
      </x:c>
    </x:row>
    <x:row r="11">
      <x:c r="A11" s="58" t="str">
        <x:v>네이버 현행 화면</x:v>
      </x:c>
      <x:c r="B11" s="59" t="str">
        <x:v>성남 수정구 신흥동 / 재개발(F01) 지도 필터</x:v>
      </x:c>
      <x:c r="C11" s="62" t="n">
        <x:v>46267.125</x:v>
      </x:c>
      <x:c r="D11" s="80" t="str">
        <x:v>https://fin.land.naver.com/map?center=3zoOEu-2AH2TC&amp;realEstateTypes=F01&amp;tradeTypes=A1-B1-B2-B3&amp;zoom=17.49880630642608&amp;showOnlySelectedRegion=true</x:v>
      </x:c>
      <x:c r="E11" s="59" t="str">
        <x:v>현행 지도 범위 확인</x:v>
      </x:c>
      <x:c r="F11" s="60" t="str">
        <x:v>동적 지도에서 신흥1·3별 대지지분·가격을 일괄 추출할 수 없음</x:v>
      </x:c>
    </x:row>
    <x:row r="12">
      <x:c r="A12" s="27" t="str">
        <x:v>네이버 확인이력</x:v>
      </x:c>
      <x:c r="B12" s="28" t="str">
        <x:v>구역명 명시 개별 매물 5건</x:v>
      </x:c>
      <x:c r="C12" s="63" t="n">
        <x:v>45820</x:v>
      </x:c>
      <x:c r="D12" s="76" t="str">
        <x:v>네이버_확인이력 시트 URL 참조</x:v>
      </x:c>
      <x:c r="E12" s="28" t="str">
        <x:v>과거 호가·대지면적 사례</x:v>
      </x:c>
      <x:c r="F12" s="29" t="str">
        <x:v>현재 매물·현재 가격이 아님</x:v>
      </x:c>
    </x:row>
    <x:row r="15" ht="22" customHeight="1">
      <x:c r="A15" s="11" t="str">
        <x:v>산식과 해석 원칙</x:v>
      </x:c>
      <x:c r="B15" s="11" t="str">
        <x:v>산식과 해석 원칙</x:v>
      </x:c>
      <x:c r="C15" s="11" t="str">
        <x:v>산식과 해석 원칙</x:v>
      </x:c>
      <x:c r="D15" s="11" t="str">
        <x:v>산식과 해석 원칙</x:v>
      </x:c>
      <x:c r="E15" s="11" t="str">
        <x:v>산식과 해석 원칙</x:v>
      </x:c>
      <x:c r="F15" s="11" t="str">
        <x:v>산식과 해석 원칙</x:v>
      </x:c>
    </x:row>
    <x:row r="16">
      <x:c r="A16" s="37" t="str">
        <x:v>지표</x:v>
      </x:c>
      <x:c r="B16" s="37" t="str">
        <x:v>산식</x:v>
      </x:c>
      <x:c r="C16" s="37" t="str">
        <x:v>판단</x:v>
      </x:c>
      <x:c r="D16" s="37"/>
      <x:c r="E16" s="37"/>
      <x:c r="F16" s="37"/>
    </x:row>
    <x:row r="17" ht="42" customHeight="1">
      <x:c r="A17" s="38" t="str">
        <x:v>대지평당 거래가</x:v>
      </x:c>
      <x:c r="B17" s="38" t="str">
        <x:v>거래가(만원) ÷ [대지면적(㎡) ÷ 3.305785]</x:v>
      </x:c>
      <x:c r="C17" s="38" t="str">
        <x:v>같은 유형·같은 권리구조에서만 비교</x:v>
      </x:c>
      <x:c r="D17" s="38"/>
      <x:c r="E17" s="38"/>
      <x:c r="F17" s="38"/>
    </x:row>
    <x:row r="18" ht="42" customHeight="1">
      <x:c r="A18" s="38" t="str">
        <x:v>공시가격 차액</x:v>
      </x:c>
      <x:c r="B18" s="38" t="str">
        <x:v>거래가 - 공시가격</x:v>
      </x:c>
      <x:c r="C18" s="38" t="str">
        <x:v>세금 기준가격과의 차이일 뿐, 재개발 P가 아님</x:v>
      </x:c>
      <x:c r="D18" s="38"/>
      <x:c r="E18" s="38"/>
      <x:c r="F18" s="38"/>
    </x:row>
    <x:row r="19" ht="42" customHeight="1">
      <x:c r="A19" s="38" t="str">
        <x:v>재개발 프리미엄</x:v>
      </x:c>
      <x:c r="B19" s="38" t="str">
        <x:v>매매가 - 종전자산 감정평가액 또는 권리가액</x:v>
      </x:c>
      <x:c r="C19" s="38" t="str">
        <x:v>개별 평가자료 없이는 공란으로 둠</x:v>
      </x:c>
      <x:c r="D19" s="38"/>
      <x:c r="E19" s="38"/>
      <x:c r="F19" s="38"/>
    </x:row>
    <x:row r="20" ht="42" customHeight="1">
      <x:c r="A20" s="38" t="str">
        <x:v>호가-실거래 차이</x:v>
      </x:c>
      <x:c r="B20" s="38" t="str">
        <x:v>동일 물건·동일 조건의 호가와 체결가 비교</x:v>
      </x:c>
      <x:c r="C20" s="38" t="str">
        <x:v>현재는 물건별 대지지분 미공개로 구역 평균 산출 제외</x:v>
      </x:c>
      <x:c r="D20" s="38"/>
      <x:c r="E20" s="38"/>
      <x:c r="F20" s="38"/>
    </x:row>
    <x:row r="21" ht="42" customHeight="1">
      <x:c r="A21" s="38" t="str">
        <x:v>유형 분리</x:v>
      </x:c>
      <x:c r="B21" s="38" t="str">
        <x:v>단독/다가구와 다세대/연립 분리</x:v>
      </x:c>
      <x:c r="C21" s="38" t="str">
        <x:v>다세대는 대지지분이 작아 평당 단가가 높게 보일 수 있음</x:v>
      </x:c>
      <x:c r="D21" s="38"/>
      <x:c r="E21" s="38"/>
      <x:c r="F21" s="38"/>
    </x:row>
  </x:sheetData>
  <x:mergeCells>
    <x:mergeCell ref="A1:F1"/>
    <x:mergeCell ref="A2:F2"/>
    <x:mergeCell ref="A15:F15"/>
    <x:mergeCell ref="C16:F16"/>
    <x:mergeCell ref="C17:F17"/>
    <x:mergeCell ref="C18:F18"/>
    <x:mergeCell ref="C19:F19"/>
    <x:mergeCell ref="C20:F20"/>
    <x:mergeCell ref="C21:F21"/>
  </x:mergeCells>
  <x:pageMargins left="0.7" right="0.7" top="0.75" bottom="0.75" header="0.3" footer="0.3"/>
</x:worksheet>
</file>