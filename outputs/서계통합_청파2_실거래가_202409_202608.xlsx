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4d6b36796f4a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약" sheetId="1" r:id="R335d2c9808c348fa"/>
    <x:sheet xmlns:r="http://schemas.openxmlformats.org/officeDocument/2006/relationships" name="서계통합_실거래" sheetId="2" r:id="R2ce5bb1a995947e4"/>
    <x:sheet xmlns:r="http://schemas.openxmlformats.org/officeDocument/2006/relationships" name="청파2_실거래" sheetId="3" r:id="R8975d7c6dc4c41fc"/>
    <x:sheet xmlns:r="http://schemas.openxmlformats.org/officeDocument/2006/relationships" name="서계_비교표본" sheetId="4" r:id="Rc95d840a1444447b"/>
    <x:sheet xmlns:r="http://schemas.openxmlformats.org/officeDocument/2006/relationships" name="청파2_비교표본" sheetId="5" r:id="Rf91952e79b2143ef"/>
    <x:sheet xmlns:r="http://schemas.openxmlformats.org/officeDocument/2006/relationships" name="최근6개월_서계" sheetId="6" r:id="R0fe7d1bbee064631"/>
    <x:sheet xmlns:r="http://schemas.openxmlformats.org/officeDocument/2006/relationships" name="최근6개월_청파2" sheetId="7" r:id="Rc3764b96de31438c"/>
    <x:sheet xmlns:r="http://schemas.openxmlformats.org/officeDocument/2006/relationships" name="취소중복_제외" sheetId="8" r:id="Rf3481aa8202a4929"/>
    <x:sheet xmlns:r="http://schemas.openxmlformats.org/officeDocument/2006/relationships" name="출처_기준" sheetId="9" r:id="R70b17503ab2849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"/>
    <x:numFmt numFmtId="201" formatCode="0.000 &quot;억원&quot;"/>
    <x:numFmt numFmtId="202" formatCode="#,##0 &quot;만원&quot;"/>
    <x:numFmt numFmtId="203" formatCode="0.0%"/>
    <x:numFmt numFmtId="204" formatCode="yyyy-mm-dd"/>
    <x:numFmt numFmtId="205" formatCode="0.00"/>
  </x:numFmts>
  <x:fonts count="7">
    <x:font>
      <x:sz val="11"/>
      <x:name val="Carlito"/>
    </x:font>
    <x:font>
      <x:b/>
      <x:sz val="16"/>
      <x:color rgb="FFFFFFFF"/>
      <x:name val="Carlito"/>
    </x:font>
    <x:font>
      <x:sz val="11"/>
      <x:color rgb="FF51606F"/>
      <x:name val="Carlito"/>
    </x:font>
    <x:font>
      <x:b/>
      <x:sz val="11"/>
      <x:color rgb="FF17365D"/>
      <x:name val="Carlito"/>
    </x:font>
    <x:font>
      <x:b/>
      <x:sz val="11"/>
      <x:name val="Carlito"/>
    </x:font>
    <x:font>
      <x:b/>
      <x:sz val="11"/>
      <x:color rgb="FF7F6000"/>
      <x:name val="Carlito"/>
    </x:font>
    <x:font>
      <x:i/>
      <x:sz val="11"/>
      <x:color rgb="FF51606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3F6F9"/>
      </x:patternFill>
    </x:fill>
    <x:fill>
      <x:patternFill patternType="solid">
        <x:fgColor rgb="FFD9EAF7"/>
      </x:patternFill>
    </x:fill>
    <x:fill>
      <x:patternFill patternType="solid">
        <x:fgColor rgb="FFF7FAFC"/>
      </x:patternFill>
    </x:fill>
    <x:fill>
      <x:patternFill patternType="solid">
        <x:fgColor rgb="FFFFF2CC"/>
      </x:patternFill>
    </x:fill>
    <x:fill>
      <x:patternFill patternType="solid">
        <x:fgColor rgb="FFFFFBEB"/>
      </x:patternFill>
    </x:fill>
  </x:fills>
  <x:borders count="10">
    <x:border/>
    <x:border>
      <x:left style="thin">
        <x:color rgb="FFC7D5E0"/>
      </x:left>
      <x:right style="thin">
        <x:color rgb="FFC7D5E0"/>
      </x:right>
      <x:top style="thin">
        <x:color rgb="FFC7D5E0"/>
      </x:top>
      <x:bottom style="thin">
        <x:color rgb="FFC7D5E0"/>
      </x:bottom>
    </x:border>
    <x:border>
      <x:left style="thin">
        <x:color rgb="FFE7D99C"/>
      </x:left>
      <x:top style="thin">
        <x:color rgb="FFE7D99C"/>
      </x:top>
    </x:border>
    <x:border>
      <x:top style="thin">
        <x:color rgb="FFE7D99C"/>
      </x:top>
    </x:border>
    <x:border>
      <x:right style="thin">
        <x:color rgb="FFE7D99C"/>
      </x:right>
      <x:top style="thin">
        <x:color rgb="FFE7D99C"/>
      </x:top>
    </x:border>
    <x:border>
      <x:left style="thin">
        <x:color rgb="FFE7D99C"/>
      </x:left>
    </x:border>
    <x:border>
      <x:right style="thin">
        <x:color rgb="FFE7D99C"/>
      </x:right>
    </x:border>
    <x:border>
      <x:left style="thin">
        <x:color rgb="FFE7D99C"/>
      </x:left>
      <x:bottom style="thin">
        <x:color rgb="FFE7D99C"/>
      </x:bottom>
    </x:border>
    <x:border>
      <x:bottom style="thin">
        <x:color rgb="FFE7D99C"/>
      </x:bottom>
    </x:border>
    <x:border>
      <x:right style="thin">
        <x:color rgb="FFE7D99C"/>
      </x:right>
      <x:bottom style="thin">
        <x:color rgb="FFE7D99C"/>
      </x:bottom>
    </x:border>
  </x:borders>
  <x:cellStyleXfs count="1">
    <x:xf numFmtId="0" fontId="0" fillId="0" borderId="0"/>
  </x:cellStyleXfs>
  <x:cellXfs count="6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0" fillId="7" borderId="0" xfId="0" applyNumberFormat="1" applyFont="1" applyFill="1" applyBorder="1"/>
    <x:xf numFmtId="0" fontId="0" fillId="7" borderId="2" xfId="0" applyNumberFormat="1" applyFont="1" applyFill="1" applyBorder="1"/>
    <x:xf numFmtId="0" fontId="0" fillId="7" borderId="3" xfId="0" applyNumberFormat="1" applyFont="1" applyFill="1" applyBorder="1"/>
    <x:xf numFmtId="0" fontId="0" fillId="7" borderId="4" xfId="0" applyNumberFormat="1" applyFont="1" applyFill="1" applyBorder="1"/>
    <x:xf numFmtId="0" fontId="0" fillId="7" borderId="5" xfId="0" applyNumberFormat="1" applyFont="1" applyFill="1" applyBorder="1"/>
    <x:xf numFmtId="0" fontId="0" fillId="7" borderId="6" xfId="0" applyNumberFormat="1" applyFont="1" applyFill="1" applyBorder="1"/>
    <x:xf numFmtId="0" fontId="0" fillId="7" borderId="7" xfId="0" applyNumberFormat="1" applyFont="1" applyFill="1" applyBorder="1"/>
    <x:xf numFmtId="0" fontId="0" fillId="7" borderId="8" xfId="0" applyNumberFormat="1" applyFont="1" applyFill="1" applyBorder="1"/>
    <x:xf numFmtId="0" fontId="0" fillId="7" borderId="9" xfId="0" applyNumberFormat="1" applyFont="1" applyFill="1" applyBorder="1"/>
    <x:xf numFmtId="0" fontId="0" fillId="7" borderId="2" xfId="0" applyNumberFormat="1" applyFont="1" applyFill="1" applyBorder="1" applyAlignment="1">
      <x:alignment wrapText="1"/>
    </x:xf>
    <x:xf numFmtId="0" fontId="0" fillId="7" borderId="3" xfId="0" applyNumberFormat="1" applyFont="1" applyFill="1" applyBorder="1" applyAlignment="1">
      <x:alignment wrapText="1"/>
    </x:xf>
    <x:xf numFmtId="0" fontId="0" fillId="7" borderId="4" xfId="0" applyNumberFormat="1" applyFont="1" applyFill="1" applyBorder="1" applyAlignment="1">
      <x:alignment wrapText="1"/>
    </x:xf>
    <x:xf numFmtId="0" fontId="0" fillId="7" borderId="5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0" fillId="7" borderId="6" xfId="0" applyNumberFormat="1" applyFont="1" applyFill="1" applyBorder="1" applyAlignment="1">
      <x:alignment wrapText="1"/>
    </x:xf>
    <x:xf numFmtId="0" fontId="0" fillId="7" borderId="7" xfId="0" applyNumberFormat="1" applyFont="1" applyFill="1" applyBorder="1" applyAlignment="1">
      <x:alignment wrapText="1"/>
    </x:xf>
    <x:xf numFmtId="0" fontId="0" fillId="7" borderId="8" xfId="0" applyNumberFormat="1" applyFont="1" applyFill="1" applyBorder="1" applyAlignment="1">
      <x:alignment wrapText="1"/>
    </x:xf>
    <x:xf numFmtId="0" fontId="0" fillId="7" borderId="9" xfId="0" applyNumberFormat="1" applyFont="1" applyFill="1" applyBorder="1" applyAlignment="1">
      <x:alignment wrapText="1"/>
    </x:xf>
    <x:xf numFmtId="0" fontId="0" fillId="7" borderId="2" xfId="0" applyNumberFormat="1" applyFont="1" applyFill="1" applyBorder="1" applyAlignment="1">
      <x:alignment vertical="center" wrapText="1"/>
    </x:xf>
    <x:xf numFmtId="0" fontId="0" fillId="7" borderId="3" xfId="0" applyNumberFormat="1" applyFont="1" applyFill="1" applyBorder="1" applyAlignment="1">
      <x:alignment vertical="center" wrapText="1"/>
    </x:xf>
    <x:xf numFmtId="0" fontId="0" fillId="7" borderId="4" xfId="0" applyNumberFormat="1" applyFont="1" applyFill="1" applyBorder="1" applyAlignment="1">
      <x:alignment vertical="center" wrapText="1"/>
    </x:xf>
    <x:xf numFmtId="0" fontId="0" fillId="7" borderId="5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 applyAlignment="1">
      <x:alignment vertical="center" wrapText="1"/>
    </x:xf>
    <x:xf numFmtId="0" fontId="0" fillId="7" borderId="6" xfId="0" applyNumberFormat="1" applyFont="1" applyFill="1" applyBorder="1" applyAlignment="1">
      <x:alignment vertical="center" wrapText="1"/>
    </x:xf>
    <x:xf numFmtId="0" fontId="0" fillId="7" borderId="7" xfId="0" applyNumberFormat="1" applyFont="1" applyFill="1" applyBorder="1" applyAlignment="1">
      <x:alignment vertical="center" wrapText="1"/>
    </x:xf>
    <x:xf numFmtId="0" fontId="0" fillId="7" borderId="8" xfId="0" applyNumberFormat="1" applyFont="1" applyFill="1" applyBorder="1" applyAlignment="1">
      <x:alignment vertical="center" wrapText="1"/>
    </x:xf>
    <x:xf numFmtId="0" fontId="0" fillId="7" borderId="9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vertical="center" wrapText="1"/>
    </x:xf>
    <x:xf numFmtId="204" fontId="0" fillId="0" borderId="0" xfId="0" applyNumberFormat="1" applyFont="1" applyFill="1" applyBorder="1"/>
    <x:xf numFmtId="205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204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5" fontId="0" fillId="0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729e5b36f044cf" /><Relationship Type="http://schemas.openxmlformats.org/officeDocument/2006/relationships/theme" Target="/xl/theme/theme1.xml" Id="R653751d7ff1640db" /><Relationship Type="http://schemas.openxmlformats.org/officeDocument/2006/relationships/sharedStrings" Target="/xl/sharedStrings.xml" Id="R17aec8b8c42e40eb" /><Relationship Type="http://schemas.openxmlformats.org/officeDocument/2006/relationships/worksheet" Target="/xl/worksheets/sheet1.xml" Id="R335d2c9808c348fa" /><Relationship Type="http://schemas.openxmlformats.org/officeDocument/2006/relationships/worksheet" Target="/xl/worksheets/sheet2.xml" Id="R2ce5bb1a995947e4" /><Relationship Type="http://schemas.openxmlformats.org/officeDocument/2006/relationships/worksheet" Target="/xl/worksheets/sheet3.xml" Id="R8975d7c6dc4c41fc" /><Relationship Type="http://schemas.openxmlformats.org/officeDocument/2006/relationships/worksheet" Target="/xl/worksheets/sheet4.xml" Id="Rc95d840a1444447b" /><Relationship Type="http://schemas.openxmlformats.org/officeDocument/2006/relationships/worksheet" Target="/xl/worksheets/sheet5.xml" Id="Rf91952e79b2143ef" /><Relationship Type="http://schemas.openxmlformats.org/officeDocument/2006/relationships/worksheet" Target="/xl/worksheets/sheet6.xml" Id="R0fe7d1bbee064631" /><Relationship Type="http://schemas.openxmlformats.org/officeDocument/2006/relationships/worksheet" Target="/xl/worksheets/sheet7.xml" Id="Rc3764b96de31438c" /><Relationship Type="http://schemas.openxmlformats.org/officeDocument/2006/relationships/worksheet" Target="/xl/worksheets/sheet8.xml" Id="Rf3481aa8202a4929" /><Relationship Type="http://schemas.openxmlformats.org/officeDocument/2006/relationships/worksheet" Target="/xl/worksheets/sheet9.xml" Id="R70b17503ab2849be" /></Relationships>
</file>

<file path=xl/tables/table1.xml><?xml version="1.0" encoding="utf-8"?>
<x:table xmlns:x="http://schemas.openxmlformats.org/spreadsheetml/2006/main" id="1" name="Table" displayName="Table" ref="A4:V127" headerRowCount="1" totalsRowCount="0" totalsRowShown="0">
  <x:tableColumns count="22">
    <x:tableColumn id="1" name="순번"/>
    <x:tableColumn id="2" name="계약일"/>
    <x:tableColumn id="3" name="지번"/>
    <x:tableColumn id="4" name="건물명"/>
    <x:tableColumn id="5" name="건물 유형"/>
    <x:tableColumn id="6" name="거래금액 (만원)"/>
    <x:tableColumn id="7" name="거래금액 (억원)"/>
    <x:tableColumn id="8" name="주택 유형"/>
    <x:tableColumn id="9" name="대지지분 (㎡)"/>
    <x:tableColumn id="10" name="대지지분 (평)"/>
    <x:tableColumn id="11" name="대지평단가 (만원)"/>
    <x:tableColumn id="12" name="전용/연면적 (㎡)"/>
    <x:tableColumn id="13" name="전용평단가 (만원)"/>
    <x:tableColumn id="14" name="층"/>
    <x:tableColumn id="15" name="공시가격 (만원)"/>
    <x:tableColumn id="16" name="공시가 초과율"/>
    <x:tableColumn id="17" name="신축연도"/>
    <x:tableColumn id="18" name="지하 여부"/>
    <x:tableColumn id="19" name="직거래"/>
    <x:tableColumn id="20" name="중개 소재지"/>
    <x:tableColumn id="21" name="거래 ID"/>
    <x:tableColumn id="22" name="상태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2Table" displayName="2Table" ref="A4:V83" headerRowCount="1" totalsRowCount="0" totalsRowShown="0">
  <x:tableColumns count="22">
    <x:tableColumn id="1" name="순번"/>
    <x:tableColumn id="2" name="계약일"/>
    <x:tableColumn id="3" name="지번"/>
    <x:tableColumn id="4" name="건물명"/>
    <x:tableColumn id="5" name="건물 유형"/>
    <x:tableColumn id="6" name="거래금액 (만원)"/>
    <x:tableColumn id="7" name="거래금액 (억원)"/>
    <x:tableColumn id="8" name="주택 유형"/>
    <x:tableColumn id="9" name="대지지분 (㎡)"/>
    <x:tableColumn id="10" name="대지지분 (평)"/>
    <x:tableColumn id="11" name="대지평단가 (만원)"/>
    <x:tableColumn id="12" name="전용/연면적 (㎡)"/>
    <x:tableColumn id="13" name="전용평단가 (만원)"/>
    <x:tableColumn id="14" name="층"/>
    <x:tableColumn id="15" name="공시가격 (만원)"/>
    <x:tableColumn id="16" name="공시가 초과율"/>
    <x:tableColumn id="17" name="신축연도"/>
    <x:tableColumn id="18" name="지하 여부"/>
    <x:tableColumn id="19" name="직거래"/>
    <x:tableColumn id="20" name="중개 소재지"/>
    <x:tableColumn id="21" name="거래 ID"/>
    <x:tableColumn id="22" name="상태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" displayName="Table" ref="A4:V56" headerRowCount="1" totalsRowCount="0" totalsRowShown="0">
  <x:tableColumns count="22">
    <x:tableColumn id="1" name="순번"/>
    <x:tableColumn id="2" name="계약일"/>
    <x:tableColumn id="3" name="지번"/>
    <x:tableColumn id="4" name="건물명"/>
    <x:tableColumn id="5" name="건물 유형"/>
    <x:tableColumn id="6" name="거래금액 (만원)"/>
    <x:tableColumn id="7" name="거래금액 (억원)"/>
    <x:tableColumn id="8" name="주택 유형"/>
    <x:tableColumn id="9" name="대지지분 (㎡)"/>
    <x:tableColumn id="10" name="대지지분 (평)"/>
    <x:tableColumn id="11" name="대지평단가 (만원)"/>
    <x:tableColumn id="12" name="전용/연면적 (㎡)"/>
    <x:tableColumn id="13" name="전용평단가 (만원)"/>
    <x:tableColumn id="14" name="층"/>
    <x:tableColumn id="15" name="공시가격 (만원)"/>
    <x:tableColumn id="16" name="공시가 초과율"/>
    <x:tableColumn id="17" name="신축연도"/>
    <x:tableColumn id="18" name="지하 여부"/>
    <x:tableColumn id="19" name="직거래"/>
    <x:tableColumn id="20" name="중개 소재지"/>
    <x:tableColumn id="21" name="거래 ID"/>
    <x:tableColumn id="22" name="상태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2Table" displayName="2Table" ref="A4:V57" headerRowCount="1" totalsRowCount="0" totalsRowShown="0">
  <x:tableColumns count="22">
    <x:tableColumn id="1" name="순번"/>
    <x:tableColumn id="2" name="계약일"/>
    <x:tableColumn id="3" name="지번"/>
    <x:tableColumn id="4" name="건물명"/>
    <x:tableColumn id="5" name="건물 유형"/>
    <x:tableColumn id="6" name="거래금액 (만원)"/>
    <x:tableColumn id="7" name="거래금액 (억원)"/>
    <x:tableColumn id="8" name="주택 유형"/>
    <x:tableColumn id="9" name="대지지분 (㎡)"/>
    <x:tableColumn id="10" name="대지지분 (평)"/>
    <x:tableColumn id="11" name="대지평단가 (만원)"/>
    <x:tableColumn id="12" name="전용/연면적 (㎡)"/>
    <x:tableColumn id="13" name="전용평단가 (만원)"/>
    <x:tableColumn id="14" name="층"/>
    <x:tableColumn id="15" name="공시가격 (만원)"/>
    <x:tableColumn id="16" name="공시가 초과율"/>
    <x:tableColumn id="17" name="신축연도"/>
    <x:tableColumn id="18" name="지하 여부"/>
    <x:tableColumn id="19" name="직거래"/>
    <x:tableColumn id="20" name="중개 소재지"/>
    <x:tableColumn id="21" name="거래 ID"/>
    <x:tableColumn id="22" name="상태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6Table" displayName="6Table" ref="A4:V16" headerRowCount="1" totalsRowCount="0" totalsRowShown="0">
  <x:tableColumns count="22">
    <x:tableColumn id="1" name="순번"/>
    <x:tableColumn id="2" name="계약일"/>
    <x:tableColumn id="3" name="지번"/>
    <x:tableColumn id="4" name="건물명"/>
    <x:tableColumn id="5" name="건물 유형"/>
    <x:tableColumn id="6" name="거래금액 (만원)"/>
    <x:tableColumn id="7" name="거래금액 (억원)"/>
    <x:tableColumn id="8" name="주택 유형"/>
    <x:tableColumn id="9" name="대지지분 (㎡)"/>
    <x:tableColumn id="10" name="대지지분 (평)"/>
    <x:tableColumn id="11" name="대지평단가 (만원)"/>
    <x:tableColumn id="12" name="전용/연면적 (㎡)"/>
    <x:tableColumn id="13" name="전용평단가 (만원)"/>
    <x:tableColumn id="14" name="층"/>
    <x:tableColumn id="15" name="공시가격 (만원)"/>
    <x:tableColumn id="16" name="공시가 초과율"/>
    <x:tableColumn id="17" name="신축연도"/>
    <x:tableColumn id="18" name="지하 여부"/>
    <x:tableColumn id="19" name="직거래"/>
    <x:tableColumn id="20" name="중개 소재지"/>
    <x:tableColumn id="21" name="거래 ID"/>
    <x:tableColumn id="22" name="상태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62Table" displayName="62Table" ref="A4:V26" headerRowCount="1" totalsRowCount="0" totalsRowShown="0">
  <x:tableColumns count="22">
    <x:tableColumn id="1" name="순번"/>
    <x:tableColumn id="2" name="계약일"/>
    <x:tableColumn id="3" name="지번"/>
    <x:tableColumn id="4" name="건물명"/>
    <x:tableColumn id="5" name="건물 유형"/>
    <x:tableColumn id="6" name="거래금액 (만원)"/>
    <x:tableColumn id="7" name="거래금액 (억원)"/>
    <x:tableColumn id="8" name="주택 유형"/>
    <x:tableColumn id="9" name="대지지분 (㎡)"/>
    <x:tableColumn id="10" name="대지지분 (평)"/>
    <x:tableColumn id="11" name="대지평단가 (만원)"/>
    <x:tableColumn id="12" name="전용/연면적 (㎡)"/>
    <x:tableColumn id="13" name="전용평단가 (만원)"/>
    <x:tableColumn id="14" name="층"/>
    <x:tableColumn id="15" name="공시가격 (만원)"/>
    <x:tableColumn id="16" name="공시가 초과율"/>
    <x:tableColumn id="17" name="신축연도"/>
    <x:tableColumn id="18" name="지하 여부"/>
    <x:tableColumn id="19" name="직거래"/>
    <x:tableColumn id="20" name="중개 소재지"/>
    <x:tableColumn id="21" name="거래 ID"/>
    <x:tableColumn id="22" name="상태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able" displayName="Table" ref="A4:V13" headerRowCount="1" totalsRowCount="0" totalsRowShown="0">
  <x:tableColumns count="22">
    <x:tableColumn id="1" name="순번"/>
    <x:tableColumn id="2" name="계약일"/>
    <x:tableColumn id="3" name="지번"/>
    <x:tableColumn id="4" name="건물명"/>
    <x:tableColumn id="5" name="건물 유형"/>
    <x:tableColumn id="6" name="거래금액 (만원)"/>
    <x:tableColumn id="7" name="거래금액 (억원)"/>
    <x:tableColumn id="8" name="주택 유형"/>
    <x:tableColumn id="9" name="대지지분 (㎡)"/>
    <x:tableColumn id="10" name="대지지분 (평)"/>
    <x:tableColumn id="11" name="대지평단가 (만원)"/>
    <x:tableColumn id="12" name="전용/연면적 (㎡)"/>
    <x:tableColumn id="13" name="전용평단가 (만원)"/>
    <x:tableColumn id="14" name="층"/>
    <x:tableColumn id="15" name="공시가격 (만원)"/>
    <x:tableColumn id="16" name="공시가 초과율"/>
    <x:tableColumn id="17" name="신축연도"/>
    <x:tableColumn id="18" name="지하 여부"/>
    <x:tableColumn id="19" name="직거래"/>
    <x:tableColumn id="20" name="중개 소재지"/>
    <x:tableColumn id="21" name="거래 ID"/>
    <x:tableColumn id="22" name="상태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424eb6e72f7438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5652081920746b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9ea262a1b85446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098476d3c6d41c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30a0de4af1c45a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cb91b6ab9304dc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1008a27de774e9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8" hidden="0" customWidth="1"/>
    <x:col min="3" max="3" width="18" hidden="0" customWidth="1"/>
    <x:col min="4" max="4" width="34" hidden="0" customWidth="1"/>
  </x:cols>
  <x:sheetData>
    <x:row r="1" ht="30" customHeight="1">
      <x:c r="A1" s="4" t="str">
        <x:v>서계 통합·청파2 구역별 실거래가 정리</x:v>
      </x:c>
      <x:c r="B1" s="4"/>
      <x:c r="C1" s="4"/>
      <x:c r="D1" s="4"/>
    </x:row>
    <x:row r="2">
      <x:c r="A2" s="7" t="str">
        <x:v>계약일 2024-09-01~2026-08-31 · 구역 경계 기반 공개 거래 목록 · 취소·중복 제외</x:v>
      </x:c>
      <x:c r="B2" s="7"/>
      <x:c r="C2" s="7"/>
      <x:c r="D2" s="7"/>
    </x:row>
    <x:row r="4">
      <x:c r="A4" s="13" t="str">
        <x:v>지표</x:v>
      </x:c>
      <x:c r="B4" s="13" t="str">
        <x:v>서계 통합</x:v>
      </x:c>
      <x:c r="C4" s="13" t="str">
        <x:v>청파2</x:v>
      </x:c>
      <x:c r="D4" s="13" t="str">
        <x:v>비고</x:v>
      </x:c>
    </x:row>
    <x:row r="5">
      <x:c r="A5" s="16" t="str">
        <x:v>활성 거래 수</x:v>
      </x:c>
      <x:c r="B5" s="17" t="n">
        <x:f>COUNTA('서계통합_실거래'!B5:B127)</x:f>
        <x:v>123</x:v>
      </x:c>
      <x:c r="C5" s="17" t="n">
        <x:f>COUNTA('청파2_실거래'!B5:B83)</x:f>
        <x:v>79</x:v>
      </x:c>
      <x:c r="D5" s="14" t="str">
        <x:v>취소·중복 제외</x:v>
      </x:c>
    </x:row>
    <x:row r="6">
      <x:c r="A6" s="16" t="str">
        <x:v>전체 중간 거래가</x:v>
      </x:c>
      <x:c r="B6" s="18" t="n">
        <x:f>MEDIAN('서계통합_실거래'!G5:G127)</x:f>
        <x:v>7.4</x:v>
      </x:c>
      <x:c r="C6" s="18" t="n">
        <x:f>MEDIAN('청파2_실거래'!G5:G83)</x:f>
        <x:v>8</x:v>
      </x:c>
      <x:c r="D6" s="14" t="str">
        <x:v>유형·대지지분 혼합</x:v>
      </x:c>
    </x:row>
    <x:row r="7">
      <x:c r="A7" s="16" t="str">
        <x:v>전체 중간 대지평단가</x:v>
      </x:c>
      <x:c r="B7" s="19" t="n">
        <x:f>MEDIAN('서계통합_실거래'!K5:K127)</x:f>
        <x:v>10958.0624465355</x:v>
      </x:c>
      <x:c r="C7" s="19" t="n">
        <x:f>MEDIAN('청파2_실거래'!K5:K83)</x:f>
        <x:v>8026.56954561221</x:v>
      </x:c>
      <x:c r="D7" s="14" t="str">
        <x:v>대지지분이 없는 거래는 제외</x:v>
      </x:c>
    </x:row>
    <x:row r="8">
      <x:c r="A8" s="16" t="str">
        <x:v>전체 공시가 초과율 중간</x:v>
      </x:c>
      <x:c r="B8" s="20" t="n">
        <x:f>MEDIAN('서계통합_실거래'!P5:P127)</x:f>
        <x:v>1.54923587828206</x:v>
      </x:c>
      <x:c r="C8" s="20" t="n">
        <x:f>MEDIAN('청파2_실거래'!P5:P83)</x:f>
        <x:v>0.8921103527738098</x:v>
      </x:c>
      <x:c r="D8" s="14" t="str">
        <x:v>공시가격 미확인 거래는 제외</x:v>
      </x:c>
    </x:row>
    <x:row r="9">
      <x:c r="A9" s="16" t="str">
        <x:v>비교표본 거래 수</x:v>
      </x:c>
      <x:c r="B9" s="17" t="n">
        <x:f>COUNTA('서계_비교표본'!B5:B56)</x:f>
        <x:v>52</x:v>
      </x:c>
      <x:c r="C9" s="17" t="n">
        <x:f>COUNTA('청파2_비교표본'!B5:B57)</x:f>
        <x:v>53</x:v>
      </x:c>
      <x:c r="D9" s="14" t="str">
        <x:v>다세대주택·비지하·대지 15~50㎡</x:v>
      </x:c>
    </x:row>
    <x:row r="10">
      <x:c r="A10" s="16" t="str">
        <x:v>비교표본 중간 거래가</x:v>
      </x:c>
      <x:c r="B10" s="18" t="n">
        <x:f>MEDIAN('서계_비교표본'!G5:G56)</x:f>
        <x:v>8.25</x:v>
      </x:c>
      <x:c r="C10" s="18" t="n">
        <x:f>MEDIAN('청파2_비교표본'!G5:G57)</x:f>
        <x:v>8.1</x:v>
      </x:c>
      <x:c r="D10" s="14" t="str">
        <x:v>동일 조건 표본</x:v>
      </x:c>
    </x:row>
    <x:row r="11">
      <x:c r="A11" s="16" t="str">
        <x:v>비교표본 중간 대지평단가</x:v>
      </x:c>
      <x:c r="B11" s="19" t="n">
        <x:f>MEDIAN('서계_비교표본'!K5:K56)</x:f>
        <x:v>10543.030515245722</x:v>
      </x:c>
      <x:c r="C11" s="19" t="n">
        <x:f>MEDIAN('청파2_비교표본'!K5:K57)</x:f>
        <x:v>8600</x:v>
      </x:c>
      <x:c r="D11" s="14" t="str">
        <x:v>동일 조건 표본</x:v>
      </x:c>
    </x:row>
    <x:row r="12">
      <x:c r="A12" s="16" t="str">
        <x:v>최근 6개월 비교표본 수</x:v>
      </x:c>
      <x:c r="B12" s="17" t="n">
        <x:f>COUNTA('최근6개월_서계'!B5:B16)</x:f>
        <x:v>12</x:v>
      </x:c>
      <x:c r="C12" s="17" t="n">
        <x:f>COUNTA('최근6개월_청파2'!B5:B26)</x:f>
        <x:v>22</x:v>
      </x:c>
      <x:c r="D12" s="14" t="str">
        <x:v>2026-03-01~2026-08-31</x:v>
      </x:c>
    </x:row>
    <x:row r="13">
      <x:c r="A13" s="16" t="str">
        <x:v>최근 6개월 중간 거래가</x:v>
      </x:c>
      <x:c r="B13" s="18" t="n">
        <x:f>MEDIAN('최근6개월_서계'!G5:G16)</x:f>
        <x:v>9.485</x:v>
      </x:c>
      <x:c r="C13" s="18" t="n">
        <x:f>MEDIAN('최근6개월_청파2'!G5:G26)</x:f>
        <x:v>8.85</x:v>
      </x:c>
      <x:c r="D13" s="14" t="str">
        <x:v>동일 조건 표본</x:v>
      </x:c>
    </x:row>
    <x:row r="14">
      <x:c r="A14" s="16" t="str">
        <x:v>최근 6개월 중간 대지평단가</x:v>
      </x:c>
      <x:c r="B14" s="19" t="n">
        <x:f>MEDIAN('최근6개월_서계'!K5:K16)</x:f>
        <x:v>13007.022106481481</x:v>
      </x:c>
      <x:c r="C14" s="19" t="n">
        <x:f>MEDIAN('최근6개월_청파2'!K5:K26)</x:f>
        <x:v>9365.36518532916</x:v>
      </x:c>
      <x:c r="D14" s="14" t="str">
        <x:v>동일 조건 표본</x:v>
      </x:c>
    </x:row>
    <x:row r="15">
      <x:c r="A15" s="16" t="str">
        <x:v>최근 6개월 공시가 초과율 중간</x:v>
      </x:c>
      <x:c r="B15" s="20" t="n">
        <x:f>MEDIAN('최근6개월_서계'!P5:P16)</x:f>
        <x:v>1.766468746307456</x:v>
      </x:c>
      <x:c r="C15" s="20" t="n">
        <x:f>MEDIAN('최근6개월_청파2'!P5:P26)</x:f>
        <x:v>1.020745541402794</x:v>
      </x:c>
      <x:c r="D15" s="14" t="str">
        <x:v>실제 재개발 P가 아님</x:v>
      </x:c>
    </x:row>
    <x:row r="18">
      <x:c r="A18" s="22" t="str">
        <x:v>해석 주의</x:v>
      </x:c>
      <x:c r="B18" s="22"/>
      <x:c r="C18" s="22"/>
      <x:c r="D18" s="22"/>
    </x:row>
    <x:row r="19" ht="32" customHeight="1">
      <x:c r="A19" s="41" t="str">
        <x:v>대지평단가는 거래가 ÷ 대지지분으로 계산했다. 공시가 초과율은 거래가 ÷ 공시가격 - 1이며, 종전자산 감정평가액·권리가액이 아니므로 실제 재개발 P를 뜻하지 않는다.</x:v>
      </x:c>
      <x:c r="B19" s="42" t="str">
        <x:v>대지평단가는 거래가 ÷ 대지지분으로 계산했다. 공시가 초과율은 거래가 ÷ 공시가격 - 1이며, 종전자산 감정평가액·권리가액이 아니므로 실제 재개발 P를 뜻하지 않는다.</x:v>
      </x:c>
      <x:c r="C19" s="42" t="str">
        <x:v>대지평단가는 거래가 ÷ 대지지분으로 계산했다. 공시가 초과율은 거래가 ÷ 공시가격 - 1이며, 종전자산 감정평가액·권리가액이 아니므로 실제 재개발 P를 뜻하지 않는다.</x:v>
      </x:c>
      <x:c r="D19" s="43" t="str">
        <x:v>대지평단가는 거래가 ÷ 대지지분으로 계산했다. 공시가 초과율은 거래가 ÷ 공시가격 - 1이며, 종전자산 감정평가액·권리가액이 아니므로 실제 재개발 P를 뜻하지 않는다.</x:v>
      </x:c>
    </x:row>
    <x:row r="20" ht="32" customHeight="1">
      <x:c r="A20" s="44" t="str">
        <x:v>개별 매수 검토는 지번의 정비구역 포함 여부, 권리산정기준일, 토지거래허가, 지분·분양자격, 보증금·명도비, 감정평가와 추가분담금을 별도로 확인해야 한다.</x:v>
      </x:c>
      <x:c r="B20" s="45" t="str">
        <x:v>개별 매수 검토는 지번의 정비구역 포함 여부, 권리산정기준일, 토지거래허가, 지분·분양자격, 보증금·명도비, 감정평가와 추가분담금을 별도로 확인해야 한다.</x:v>
      </x:c>
      <x:c r="C20" s="45" t="str">
        <x:v>개별 매수 검토는 지번의 정비구역 포함 여부, 권리산정기준일, 토지거래허가, 지분·분양자격, 보증금·명도비, 감정평가와 추가분담금을 별도로 확인해야 한다.</x:v>
      </x:c>
      <x:c r="D20" s="46" t="str">
        <x:v>개별 매수 검토는 지번의 정비구역 포함 여부, 권리산정기준일, 토지거래허가, 지분·분양자격, 보증금·명도비, 감정평가와 추가분담금을 별도로 확인해야 한다.</x:v>
      </x:c>
    </x:row>
    <x:row r="21" ht="32" customHeight="1">
      <x:c r="A21" s="47" t="str">
        <x:v>원거래는 서울부동산정보광장에서 재확인한다. 신고 정정·취소·지연 신고와 구역 경계 귀속에 따라 수치가 바뀔 수 있다.</x:v>
      </x:c>
      <x:c r="B21" s="48" t="str">
        <x:v>원거래는 서울부동산정보광장에서 재확인한다. 신고 정정·취소·지연 신고와 구역 경계 귀속에 따라 수치가 바뀔 수 있다.</x:v>
      </x:c>
      <x:c r="C21" s="48" t="str">
        <x:v>원거래는 서울부동산정보광장에서 재확인한다. 신고 정정·취소·지연 신고와 구역 경계 귀속에 따라 수치가 바뀔 수 있다.</x:v>
      </x:c>
      <x:c r="D21" s="49" t="str">
        <x:v>원거래는 서울부동산정보광장에서 재확인한다. 신고 정정·취소·지연 신고와 구역 경계 귀속에 따라 수치가 바뀔 수 있다.</x:v>
      </x:c>
    </x:row>
  </x:sheetData>
  <x:mergeCells>
    <x:mergeCell ref="A1:D1"/>
    <x:mergeCell ref="A2:D2"/>
    <x:mergeCell ref="A18:D18"/>
    <x:mergeCell ref="A19:D19"/>
    <x:mergeCell ref="A20:D20"/>
    <x:mergeCell ref="A21:D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3" hidden="0" customWidth="1"/>
    <x:col min="3" max="3" width="22" hidden="0" customWidth="1"/>
    <x:col min="4" max="4" width="20" hidden="0" customWidth="1"/>
    <x:col min="5" max="5" width="14" hidden="0" customWidth="1"/>
    <x:col min="6" max="6" width="15" hidden="0" customWidth="1"/>
    <x:col min="7" max="7" width="14" hidden="0" customWidth="1"/>
    <x:col min="8" max="8" width="12" hidden="0" customWidth="1"/>
    <x:col min="9" max="9" width="14" hidden="0" customWidth="1"/>
    <x:col min="10" max="10" width="13" hidden="0" customWidth="1"/>
    <x:col min="11" max="11" width="16" hidden="0" customWidth="1"/>
    <x:col min="12" max="12" width="16" hidden="0" customWidth="1"/>
    <x:col min="13" max="13" width="16" hidden="0" customWidth="1"/>
    <x:col min="14" max="14" width="8" hidden="0" customWidth="1"/>
    <x:col min="15" max="15" width="15" hidden="0" customWidth="1"/>
    <x:col min="16" max="16" width="14" hidden="0" customWidth="1"/>
    <x:col min="17" max="17" width="11" hidden="0" customWidth="1"/>
    <x:col min="18" max="18" width="10" hidden="0" customWidth="1"/>
    <x:col min="19" max="19" width="10" hidden="0" customWidth="1"/>
    <x:col min="20" max="20" width="22" hidden="0" customWidth="1"/>
    <x:col min="21" max="21" width="12" hidden="0" customWidth="1"/>
    <x:col min="22" max="22" width="12" hidden="0" customWidth="1"/>
  </x:cols>
  <x:sheetData>
    <x:row r="1" ht="28" customHeight="1">
      <x:c r="A1" s="4" t="str">
        <x:v>서계통합 실거래가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</x:row>
    <x:row r="2" ht="32" customHeight="1">
      <x:c r="A2" s="52" t="str">
        <x:v>구역 경계 기반 활성 거래 · 취소·중복 제외 · 계약일 최신순</x:v>
      </x:c>
      <x:c r="B2" s="52"/>
      <x:c r="C2" s="52"/>
      <x:c r="D2" s="52"/>
      <x:c r="E2" s="52"/>
      <x:c r="F2" s="52"/>
      <x:c r="G2" s="52"/>
      <x:c r="H2" s="52"/>
      <x:c r="I2" s="52"/>
      <x:c r="J2" s="52"/>
      <x:c r="K2" s="52"/>
      <x:c r="L2" s="52"/>
      <x:c r="M2" s="52"/>
      <x:c r="N2" s="52"/>
      <x:c r="O2" s="52"/>
      <x:c r="P2" s="52"/>
      <x:c r="Q2" s="52"/>
      <x:c r="R2" s="52"/>
      <x:c r="S2" s="52"/>
      <x:c r="T2" s="52"/>
      <x:c r="U2" s="52"/>
      <x:c r="V2" s="52"/>
    </x:row>
    <x:row r="4">
      <x:c r="A4" s="13" t="str">
        <x:v>순번</x:v>
      </x:c>
      <x:c r="B4" s="13" t="str">
        <x:v>계약일</x:v>
      </x:c>
      <x:c r="C4" s="13" t="str">
        <x:v>지번</x:v>
      </x:c>
      <x:c r="D4" s="13" t="str">
        <x:v>건물명</x:v>
      </x:c>
      <x:c r="E4" s="13" t="str">
        <x:v>건물 유형</x:v>
      </x:c>
      <x:c r="F4" s="13" t="str">
        <x:v>거래금액 (만원)</x:v>
      </x:c>
      <x:c r="G4" s="13" t="str">
        <x:v>거래금액 (억원)</x:v>
      </x:c>
      <x:c r="H4" s="13" t="str">
        <x:v>주택 유형</x:v>
      </x:c>
      <x:c r="I4" s="13" t="str">
        <x:v>대지지분 (㎡)</x:v>
      </x:c>
      <x:c r="J4" s="13" t="str">
        <x:v>대지지분 (평)</x:v>
      </x:c>
      <x:c r="K4" s="13" t="str">
        <x:v>대지평단가 (만원)</x:v>
      </x:c>
      <x:c r="L4" s="13" t="str">
        <x:v>전용/연면적 (㎡)</x:v>
      </x:c>
      <x:c r="M4" s="13" t="str">
        <x:v>전용평단가 (만원)</x:v>
      </x:c>
      <x:c r="N4" s="13" t="str">
        <x:v>층</x:v>
      </x:c>
      <x:c r="O4" s="13" t="str">
        <x:v>공시가격 (만원)</x:v>
      </x:c>
      <x:c r="P4" s="13" t="str">
        <x:v>공시가 초과율</x:v>
      </x:c>
      <x:c r="Q4" s="13" t="str">
        <x:v>신축연도</x:v>
      </x:c>
      <x:c r="R4" s="13" t="str">
        <x:v>지하 여부</x:v>
      </x:c>
      <x:c r="S4" s="13" t="str">
        <x:v>직거래</x:v>
      </x:c>
      <x:c r="T4" s="13" t="str">
        <x:v>중개 소재지</x:v>
      </x:c>
      <x:c r="U4" s="13" t="str">
        <x:v>거래 ID</x:v>
      </x:c>
      <x:c r="V4" s="13" t="str">
        <x:v>상태</x:v>
      </x:c>
    </x:row>
    <x:row r="5">
      <x:c r="A5" s="55" t="n">
        <x:v>1</x:v>
      </x:c>
      <x:c r="B5" s="56" t="n">
        <x:v>46215</x:v>
      </x:c>
      <x:c r="C5" s="61" t="str">
        <x:v>청파동1가 1-38</x:v>
      </x:c>
      <x:c r="D5" s="61" t="str">
        <x:v>가음빌라</x:v>
      </x:c>
      <x:c r="E5" s="55" t="str">
        <x:v>다세대주택</x:v>
      </x:c>
      <x:c r="F5" s="57" t="n">
        <x:v>120000</x:v>
      </x:c>
      <x:c r="G5" s="58" t="n">
        <x:f>IFERROR(F5/10000,"")</x:f>
        <x:v>12</x:v>
      </x:c>
      <x:c r="H5" s="55" t="str">
        <x:v>다세대</x:v>
      </x:c>
      <x:c r="I5" s="59" t="n">
        <x:v>36.36</x:v>
      </x:c>
      <x:c r="J5" s="59" t="n">
        <x:f>IFERROR(I5/3.3058,"")</x:f>
        <x:v>10.998850505172726</x:v>
      </x:c>
      <x:c r="K5" s="57" t="n">
        <x:f>IFERROR(F5/J5,"")</x:f>
        <x:v>10910.231023102311</x:v>
      </x:c>
      <x:c r="L5" s="59" t="n">
        <x:v>85.95</x:v>
      </x:c>
      <x:c r="M5" s="57" t="n">
        <x:f>IFERROR(F5/(L5/3.3),"")</x:f>
        <x:v>4607.329842931937</x:v>
      </x:c>
      <x:c r="N5" s="55" t="str">
        <x:v>-1</x:v>
      </x:c>
      <x:c r="O5" s="57" t="n">
        <x:v>37100</x:v>
      </x:c>
      <x:c r="P5" s="60" t="n">
        <x:f>IFERROR(F5/O5-1,"")</x:f>
        <x:v>2.234501347708895</x:v>
      </x:c>
      <x:c r="Q5" s="55" t="n">
        <x:v>2008</x:v>
      </x:c>
      <x:c r="R5" s="55" t="str">
        <x:v>지하</x:v>
      </x:c>
      <x:c r="S5" s="55" t="str">
        <x:v>중개거래</x:v>
      </x:c>
      <x:c r="T5" s="55" t="str">
        <x:v>서울 용산구</x:v>
      </x:c>
      <x:c r="U5" s="55" t="n">
        <x:v>30156211</x:v>
      </x:c>
      <x:c r="V5" s="55" t="str">
        <x:v>활성</x:v>
      </x:c>
    </x:row>
    <x:row r="6">
      <x:c r="A6" s="55" t="n">
        <x:v>2</x:v>
      </x:c>
      <x:c r="B6" s="56" t="n">
        <x:v>46207</x:v>
      </x:c>
      <x:c r="C6" s="61" t="str">
        <x:v>서계동 258-1</x:v>
      </x:c>
      <x:c r="D6" s="61" t="str">
        <x:v>(258-1)</x:v>
      </x:c>
      <x:c r="E6" s="55" t="str">
        <x:v>다세대주택</x:v>
      </x:c>
      <x:c r="F6" s="57" t="n">
        <x:v>97000</x:v>
      </x:c>
      <x:c r="G6" s="58" t="n">
        <x:f>IFERROR(F6/10000,"")</x:f>
        <x:v>9.7</x:v>
      </x:c>
      <x:c r="H6" s="55" t="str">
        <x:v>다세대</x:v>
      </x:c>
      <x:c r="I6" s="59" t="n">
        <x:v>17.9</x:v>
      </x:c>
      <x:c r="J6" s="59" t="n">
        <x:f>IFERROR(I6/3.3058,"")</x:f>
        <x:v>5.414725633734648</x:v>
      </x:c>
      <x:c r="K6" s="57" t="n">
        <x:f>IFERROR(F6/J6,"")</x:f>
        <x:v>17914.111731843575</x:v>
      </x:c>
      <x:c r="L6" s="59" t="n">
        <x:v>54.47</x:v>
      </x:c>
      <x:c r="M6" s="57" t="n">
        <x:f>IFERROR(F6/(L6/3.3),"")</x:f>
        <x:v>5876.629337249862</x:v>
      </x:c>
      <x:c r="N6" s="55" t="str">
        <x:v>4</x:v>
      </x:c>
      <x:c r="O6" s="57" t="n">
        <x:v>31500</x:v>
      </x:c>
      <x:c r="P6" s="60" t="n">
        <x:f>IFERROR(F6/O6-1,"")</x:f>
        <x:v>2.0793650793650795</x:v>
      </x:c>
      <x:c r="Q6" s="55" t="n">
        <x:v>1998</x:v>
      </x:c>
      <x:c r="R6" s="55" t="str">
        <x:v>비지하</x:v>
      </x:c>
      <x:c r="S6" s="55" t="str">
        <x:v>중개거래</x:v>
      </x:c>
      <x:c r="T6" s="55" t="str">
        <x:v>서울 용산구</x:v>
      </x:c>
      <x:c r="U6" s="55" t="n">
        <x:v>30156258</x:v>
      </x:c>
      <x:c r="V6" s="55" t="str">
        <x:v>활성</x:v>
      </x:c>
    </x:row>
    <x:row r="7">
      <x:c r="A7" s="55" t="n">
        <x:v>3</x:v>
      </x:c>
      <x:c r="B7" s="56" t="n">
        <x:v>46203</x:v>
      </x:c>
      <x:c r="C7" s="61" t="str">
        <x:v>청파동1가 1-58</x:v>
      </x:c>
      <x:c r="D7" s="61" t="str">
        <x:v>청파동다세대주택</x:v>
      </x:c>
      <x:c r="E7" s="55" t="str">
        <x:v>다세대주택</x:v>
      </x:c>
      <x:c r="F7" s="57" t="n">
        <x:v>107000</x:v>
      </x:c>
      <x:c r="G7" s="58" t="n">
        <x:f>IFERROR(F7/10000,"")</x:f>
        <x:v>10.7</x:v>
      </x:c>
      <x:c r="H7" s="55" t="str">
        <x:v>다세대</x:v>
      </x:c>
      <x:c r="I7" s="59" t="n">
        <x:v>27</x:v>
      </x:c>
      <x:c r="J7" s="59" t="n">
        <x:f>IFERROR(I7/3.3058,"")</x:f>
        <x:v>8.167463246415391</x:v>
      </x:c>
      <x:c r="K7" s="57" t="n">
        <x:f>IFERROR(F7/J7,"")</x:f>
        <x:v>13100.762962962963</x:v>
      </x:c>
      <x:c r="L7" s="59" t="n">
        <x:v>31.35</x:v>
      </x:c>
      <x:c r="M7" s="57" t="n">
        <x:f>IFERROR(F7/(L7/3.3),"")</x:f>
        <x:v>11263.15789473684</x:v>
      </x:c>
      <x:c r="N7" s="55" t="str">
        <x:v>3</x:v>
      </x:c>
      <x:c r="O7" s="57" t="n">
        <x:v>37200</x:v>
      </x:c>
      <x:c r="P7" s="60" t="n">
        <x:f>IFERROR(F7/O7-1,"")</x:f>
        <x:v>1.8763440860215055</x:v>
      </x:c>
      <x:c r="Q7" s="55" t="n">
        <x:v>2007</x:v>
      </x:c>
      <x:c r="R7" s="55" t="str">
        <x:v>비지하</x:v>
      </x:c>
      <x:c r="S7" s="55" t="str">
        <x:v>중개거래</x:v>
      </x:c>
      <x:c r="T7" s="55" t="str">
        <x:v>서울 용산구</x:v>
      </x:c>
      <x:c r="U7" s="55" t="n">
        <x:v>30038549</x:v>
      </x:c>
      <x:c r="V7" s="55" t="str">
        <x:v>활성</x:v>
      </x:c>
    </x:row>
    <x:row r="8">
      <x:c r="A8" s="55" t="n">
        <x:v>4</x:v>
      </x:c>
      <x:c r="B8" s="56" t="n">
        <x:v>46196</x:v>
      </x:c>
      <x:c r="C8" s="61" t="str">
        <x:v>서계동 253-2</x:v>
      </x:c>
      <x:c r="D8" s="61" t="str">
        <x:v>(253-2)</x:v>
      </x:c>
      <x:c r="E8" s="55" t="str">
        <x:v>다세대주택</x:v>
      </x:c>
      <x:c r="F8" s="57" t="n">
        <x:v>79700</x:v>
      </x:c>
      <x:c r="G8" s="58" t="n">
        <x:f>IFERROR(F8/10000,"")</x:f>
        <x:v>7.97</x:v>
      </x:c>
      <x:c r="H8" s="55" t="str">
        <x:v>다세대</x:v>
      </x:c>
      <x:c r="I8" s="59" t="n">
        <x:v>14.44</x:v>
      </x:c>
      <x:c r="J8" s="59" t="n">
        <x:f>IFERROR(I8/3.3058,"")</x:f>
        <x:v>4.368080343638454</x:v>
      </x:c>
      <x:c r="K8" s="57" t="n">
        <x:f>IFERROR(F8/J8,"")</x:f>
        <x:v>18246.001385041553</x:v>
      </x:c>
      <x:c r="L8" s="59" t="n">
        <x:v>33.16</x:v>
      </x:c>
      <x:c r="M8" s="57" t="n">
        <x:f>IFERROR(F8/(L8/3.3),"")</x:f>
        <x:v>7931.544028950542</x:v>
      </x:c>
      <x:c r="N8" s="55" t="str">
        <x:v>-1</x:v>
      </x:c>
      <x:c r="O8" s="57" t="n">
        <x:v>18900</x:v>
      </x:c>
      <x:c r="P8" s="60" t="n">
        <x:f>IFERROR(F8/O8-1,"")</x:f>
        <x:v>3.2169312169312168</x:v>
      </x:c>
      <x:c r="Q8" s="55" t="n">
        <x:v>1996</x:v>
      </x:c>
      <x:c r="R8" s="55" t="str">
        <x:v>지하</x:v>
      </x:c>
      <x:c r="S8" s="55" t="str">
        <x:v>중개거래</x:v>
      </x:c>
      <x:c r="T8" s="55" t="str">
        <x:v>서울 용산구</x:v>
      </x:c>
      <x:c r="U8" s="55" t="n">
        <x:v>30038581</x:v>
      </x:c>
      <x:c r="V8" s="55" t="str">
        <x:v>활성</x:v>
      </x:c>
    </x:row>
    <x:row r="9">
      <x:c r="A9" s="55" t="n">
        <x:v>5</x:v>
      </x:c>
      <x:c r="B9" s="56" t="n">
        <x:v>46185</x:v>
      </x:c>
      <x:c r="C9" s="61" t="str">
        <x:v>서계동 33-217</x:v>
      </x:c>
      <x:c r="D9" s="61" t="str"/>
      <x:c r="E9" s="55" t="str">
        <x:v>단독주택</x:v>
      </x:c>
      <x:c r="F9" s="57" t="n">
        <x:v>85380</x:v>
      </x:c>
      <x:c r="G9" s="58" t="n">
        <x:f>IFERROR(F9/10000,"")</x:f>
        <x:v>8.538</x:v>
      </x:c>
      <x:c r="H9" s="55" t="str">
        <x:v>단독</x:v>
      </x:c>
      <x:c r="I9" s="59" t="n">
        <x:v>46.3</x:v>
      </x:c>
      <x:c r="J9" s="59" t="n">
        <x:f>IFERROR(I9/3.3058,"")</x:f>
        <x:v>14.005686974408613</x:v>
      </x:c>
      <x:c r="K9" s="57" t="n">
        <x:f>IFERROR(F9/J9,"")</x:f>
        <x:v>6096.0951187904975</x:v>
      </x:c>
      <x:c r="L9" s="59" t="n">
        <x:v>37.69</x:v>
      </x:c>
      <x:c r="M9" s="57" t="n">
        <x:f>IFERROR(F9/(L9/3.3),"")</x:f>
        <x:v>7475.563810029185</x:v>
      </x:c>
      <x:c r="N9" s="55" t="str"/>
      <x:c r="O9" s="57" t="n">
        <x:v>22700</x:v>
      </x:c>
      <x:c r="P9" s="60" t="n">
        <x:f>IFERROR(F9/O9-1,"")</x:f>
        <x:v>2.7612334801762115</x:v>
      </x:c>
      <x:c r="Q9" s="55" t="n">
        <x:v>1939</x:v>
      </x:c>
      <x:c r="R9" s="55" t="str"/>
      <x:c r="S9" s="55" t="str">
        <x:v>중개거래</x:v>
      </x:c>
      <x:c r="T9" s="55" t="str">
        <x:v>서울 용산구</x:v>
      </x:c>
      <x:c r="U9" s="55" t="n">
        <x:v>30044140</x:v>
      </x:c>
      <x:c r="V9" s="55" t="str">
        <x:v>활성</x:v>
      </x:c>
    </x:row>
    <x:row r="10">
      <x:c r="A10" s="55" t="n">
        <x:v>6</x:v>
      </x:c>
      <x:c r="B10" s="56" t="n">
        <x:v>46181</x:v>
      </x:c>
      <x:c r="C10" s="61" t="str">
        <x:v>서계동 242-4</x:v>
      </x:c>
      <x:c r="D10" s="61" t="str"/>
      <x:c r="E10" s="55" t="str">
        <x:v>단독주택</x:v>
      </x:c>
      <x:c r="F10" s="57" t="n">
        <x:v>169000</x:v>
      </x:c>
      <x:c r="G10" s="58" t="n">
        <x:f>IFERROR(F10/10000,"")</x:f>
        <x:v>16.9</x:v>
      </x:c>
      <x:c r="H10" s="55" t="str">
        <x:v>다가구</x:v>
      </x:c>
      <x:c r="I10" s="59" t="n">
        <x:v>86</x:v>
      </x:c>
      <x:c r="J10" s="59" t="n">
        <x:f>IFERROR(I10/3.3058,"")</x:f>
        <x:v>26.0148829330268</x:v>
      </x:c>
      <x:c r="K10" s="57" t="n">
        <x:f>IFERROR(F10/J10,"")</x:f>
        <x:v>6496.281395348838</x:v>
      </x:c>
      <x:c r="L10" s="59" t="n">
        <x:v>183.12</x:v>
      </x:c>
      <x:c r="M10" s="57" t="n">
        <x:f>IFERROR(F10/(L10/3.3),"")</x:f>
        <x:v>3045.5439056356486</x:v>
      </x:c>
      <x:c r="N10" s="55" t="str"/>
      <x:c r="O10" s="57" t="n">
        <x:v>39800</x:v>
      </x:c>
      <x:c r="P10" s="60" t="n">
        <x:f>IFERROR(F10/O10-1,"")</x:f>
        <x:v>3.2462311557788945</x:v>
      </x:c>
      <x:c r="Q10" s="55" t="n">
        <x:v>1997</x:v>
      </x:c>
      <x:c r="R10" s="55" t="str"/>
      <x:c r="S10" s="55" t="str">
        <x:v>중개거래</x:v>
      </x:c>
      <x:c r="T10" s="55" t="str">
        <x:v>서울 용산구</x:v>
      </x:c>
      <x:c r="U10" s="55" t="n">
        <x:v>30044159</x:v>
      </x:c>
      <x:c r="V10" s="55" t="str">
        <x:v>활성</x:v>
      </x:c>
    </x:row>
    <x:row r="11">
      <x:c r="A11" s="55" t="n">
        <x:v>7</x:v>
      </x:c>
      <x:c r="B11" s="56" t="n">
        <x:v>46178</x:v>
      </x:c>
      <x:c r="C11" s="61" t="str">
        <x:v>청파동1가 1-2</x:v>
      </x:c>
      <x:c r="D11" s="61" t="str">
        <x:v>(1-2)</x:v>
      </x:c>
      <x:c r="E11" s="55" t="str">
        <x:v>다세대주택</x:v>
      </x:c>
      <x:c r="F11" s="57" t="n">
        <x:v>100000</x:v>
      </x:c>
      <x:c r="G11" s="58" t="n">
        <x:f>IFERROR(F11/10000,"")</x:f>
        <x:v>10</x:v>
      </x:c>
      <x:c r="H11" s="55" t="str">
        <x:v>다세대</x:v>
      </x:c>
      <x:c r="I11" s="59" t="n">
        <x:v>45.1505</x:v>
      </x:c>
      <x:c r="J11" s="59" t="n">
        <x:f>IFERROR(I11/3.3058,"")</x:f>
        <x:v>13.657964789158449</x:v>
      </x:c>
      <x:c r="K11" s="57" t="n">
        <x:f>IFERROR(F11/J11,"")</x:f>
        <x:v>7321.735085990188</x:v>
      </x:c>
      <x:c r="L11" s="59" t="n">
        <x:v>54.36</x:v>
      </x:c>
      <x:c r="M11" s="57" t="n">
        <x:f>IFERROR(F11/(L11/3.3),"")</x:f>
        <x:v>6070.640176600442</x:v>
      </x:c>
      <x:c r="N11" s="55" t="str">
        <x:v>-1</x:v>
      </x:c>
      <x:c r="O11" s="57" t="n">
        <x:v>37400</x:v>
      </x:c>
      <x:c r="P11" s="60" t="n">
        <x:f>IFERROR(F11/O11-1,"")</x:f>
        <x:v>1.6737967914438503</x:v>
      </x:c>
      <x:c r="Q11" s="55" t="n">
        <x:v>1987</x:v>
      </x:c>
      <x:c r="R11" s="55" t="str">
        <x:v>지하</x:v>
      </x:c>
      <x:c r="S11" s="55" t="str">
        <x:v>중개거래</x:v>
      </x:c>
      <x:c r="T11" s="55" t="str">
        <x:v>서울 용산구</x:v>
      </x:c>
      <x:c r="U11" s="55" t="n">
        <x:v>30038578</x:v>
      </x:c>
      <x:c r="V11" s="55" t="str">
        <x:v>활성</x:v>
      </x:c>
    </x:row>
    <x:row r="12">
      <x:c r="A12" s="55" t="n">
        <x:v>8</x:v>
      </x:c>
      <x:c r="B12" s="56" t="n">
        <x:v>46177</x:v>
      </x:c>
      <x:c r="C12" s="61" t="str">
        <x:v>서계동 33-64</x:v>
      </x:c>
      <x:c r="D12" s="61" t="str">
        <x:v>퍼스트하우스</x:v>
      </x:c>
      <x:c r="E12" s="55" t="str">
        <x:v>다세대주택</x:v>
      </x:c>
      <x:c r="F12" s="57" t="n">
        <x:v>79000</x:v>
      </x:c>
      <x:c r="G12" s="58" t="n">
        <x:f>IFERROR(F12/10000,"")</x:f>
        <x:v>7.9</x:v>
      </x:c>
      <x:c r="H12" s="55" t="str">
        <x:v>다세대</x:v>
      </x:c>
      <x:c r="I12" s="59" t="n">
        <x:v>13.23</x:v>
      </x:c>
      <x:c r="J12" s="59" t="n">
        <x:f>IFERROR(I12/3.3058,"")</x:f>
        <x:v>4.002056990743542</x:v>
      </x:c>
      <x:c r="K12" s="57" t="n">
        <x:f>IFERROR(F12/J12,"")</x:f>
        <x:v>19739.848828420254</x:v>
      </x:c>
      <x:c r="L12" s="59" t="n">
        <x:v>19.77</x:v>
      </x:c>
      <x:c r="M12" s="57" t="n">
        <x:f>IFERROR(F12/(L12/3.3),"")</x:f>
        <x:v>13186.646433990894</x:v>
      </x:c>
      <x:c r="N12" s="55" t="str">
        <x:v>4</x:v>
      </x:c>
      <x:c r="O12" s="57" t="n">
        <x:v>31200</x:v>
      </x:c>
      <x:c r="P12" s="60" t="n">
        <x:f>IFERROR(F12/O12-1,"")</x:f>
        <x:v>1.532051282051282</x:v>
      </x:c>
      <x:c r="Q12" s="55" t="n">
        <x:v>2021</x:v>
      </x:c>
      <x:c r="R12" s="55" t="str">
        <x:v>비지하</x:v>
      </x:c>
      <x:c r="S12" s="55" t="str">
        <x:v>중개거래</x:v>
      </x:c>
      <x:c r="T12" s="55" t="str">
        <x:v>서울 마포구, 서울 용산구</x:v>
      </x:c>
      <x:c r="U12" s="55" t="n">
        <x:v>30038641</x:v>
      </x:c>
      <x:c r="V12" s="55" t="str">
        <x:v>활성</x:v>
      </x:c>
    </x:row>
    <x:row r="13">
      <x:c r="A13" s="55" t="n">
        <x:v>9</x:v>
      </x:c>
      <x:c r="B13" s="56" t="n">
        <x:v>46173</x:v>
      </x:c>
      <x:c r="C13" s="61" t="str">
        <x:v>서계동 255-12</x:v>
      </x:c>
      <x:c r="D13" s="61" t="str"/>
      <x:c r="E13" s="55" t="str">
        <x:v>단독주택</x:v>
      </x:c>
      <x:c r="F13" s="57" t="n">
        <x:v>50000</x:v>
      </x:c>
      <x:c r="G13" s="58" t="n">
        <x:f>IFERROR(F13/10000,"")</x:f>
        <x:v>5</x:v>
      </x:c>
      <x:c r="H13" s="55" t="str">
        <x:v>단독</x:v>
      </x:c>
      <x:c r="I13" s="59" t="n">
        <x:v>49.6</x:v>
      </x:c>
      <x:c r="J13" s="59" t="n">
        <x:f>IFERROR(I13/3.3058,"")</x:f>
        <x:v>15.00393248230383</x:v>
      </x:c>
      <x:c r="K13" s="57" t="n">
        <x:f>IFERROR(F13/J13,"")</x:f>
        <x:v>3332.4596774193546</x:v>
      </x:c>
      <x:c r="L13" s="59" t="n">
        <x:v>26.45</x:v>
      </x:c>
      <x:c r="M13" s="57" t="n">
        <x:f>IFERROR(F13/(L13/3.3),"")</x:f>
        <x:v>6238.1852551984875</x:v>
      </x:c>
      <x:c r="N13" s="55" t="str"/>
      <x:c r="O13" s="57" t="n">
        <x:v>23500</x:v>
      </x:c>
      <x:c r="P13" s="60" t="n">
        <x:f>IFERROR(F13/O13-1,"")</x:f>
        <x:v>1.127659574468085</x:v>
      </x:c>
      <x:c r="Q13" s="55" t="n">
        <x:v>1931</x:v>
      </x:c>
      <x:c r="R13" s="55" t="str"/>
      <x:c r="S13" s="55" t="str">
        <x:v>직거래</x:v>
      </x:c>
      <x:c r="T13" s="55" t="str"/>
      <x:c r="U13" s="55" t="n">
        <x:v>27669557</x:v>
      </x:c>
      <x:c r="V13" s="55" t="str">
        <x:v>활성</x:v>
      </x:c>
    </x:row>
    <x:row r="14">
      <x:c r="A14" s="55" t="n">
        <x:v>10</x:v>
      </x:c>
      <x:c r="B14" s="56" t="n">
        <x:v>46169</x:v>
      </x:c>
      <x:c r="C14" s="61" t="str">
        <x:v>서계동 33-341</x:v>
      </x:c>
      <x:c r="D14" s="61" t="str"/>
      <x:c r="E14" s="55" t="str">
        <x:v>토지</x:v>
      </x:c>
      <x:c r="F14" s="57" t="n">
        <x:v>31000</x:v>
      </x:c>
      <x:c r="G14" s="58" t="n">
        <x:f>IFERROR(F14/10000,"")</x:f>
        <x:v>3.1</x:v>
      </x:c>
      <x:c r="H14" s="55" t="str"/>
      <x:c r="I14" s="59" t="n">
        <x:v>9.3</x:v>
      </x:c>
      <x:c r="J14" s="59" t="n">
        <x:f>IFERROR(I14/3.3058,"")</x:f>
        <x:v>2.8132373404319684</x:v>
      </x:c>
      <x:c r="K14" s="57" t="n">
        <x:f>IFERROR(F14/J14,"")</x:f>
        <x:v>11019.333333333332</x:v>
      </x:c>
      <x:c r="L14" s="59"/>
      <x:c r="M14" s="57" t="str">
        <x:f>IFERROR(F14/(L14/3.3),"")</x:f>
      </x:c>
      <x:c r="N14" s="55" t="str"/>
      <x:c r="O14" s="57"/>
      <x:c r="P14" s="60" t="str">
        <x:f>IFERROR(F14/O14-1,"")</x:f>
      </x:c>
      <x:c r="Q14" s="55"/>
      <x:c r="R14" s="55" t="str"/>
      <x:c r="S14" s="55" t="str">
        <x:v>중개거래</x:v>
      </x:c>
      <x:c r="T14" s="55" t="str">
        <x:v>서울 용산구</x:v>
      </x:c>
      <x:c r="U14" s="55" t="n">
        <x:v>27671440</x:v>
      </x:c>
      <x:c r="V14" s="55" t="str">
        <x:v>활성</x:v>
      </x:c>
    </x:row>
    <x:row r="15">
      <x:c r="A15" s="55" t="n">
        <x:v>11</x:v>
      </x:c>
      <x:c r="B15" s="56" t="n">
        <x:v>46169</x:v>
      </x:c>
      <x:c r="C15" s="61" t="str">
        <x:v>서계동 33-161</x:v>
      </x:c>
      <x:c r="D15" s="61" t="str"/>
      <x:c r="E15" s="55" t="str">
        <x:v>단독주택</x:v>
      </x:c>
      <x:c r="F15" s="57" t="n">
        <x:v>24000</x:v>
      </x:c>
      <x:c r="G15" s="58" t="n">
        <x:f>IFERROR(F15/10000,"")</x:f>
        <x:v>2.4</x:v>
      </x:c>
      <x:c r="H15" s="55" t="str">
        <x:v>단독</x:v>
      </x:c>
      <x:c r="I15" s="59" t="n">
        <x:v>7.2</x:v>
      </x:c>
      <x:c r="J15" s="59" t="n">
        <x:f>IFERROR(I15/3.3058,"")</x:f>
        <x:v>2.177990199044104</x:v>
      </x:c>
      <x:c r="K15" s="57" t="n">
        <x:f>IFERROR(F15/J15,"")</x:f>
        <x:v>11019.333333333334</x:v>
      </x:c>
      <x:c r="L15" s="59" t="n">
        <x:v>9.92</x:v>
      </x:c>
      <x:c r="M15" s="57" t="n">
        <x:f>IFERROR(F15/(L15/3.3),"")</x:f>
        <x:v>7983.870967741935</x:v>
      </x:c>
      <x:c r="N15" s="55" t="str"/>
      <x:c r="O15" s="57" t="n">
        <x:v>10800</x:v>
      </x:c>
      <x:c r="P15" s="60" t="n">
        <x:f>IFERROR(F15/O15-1,"")</x:f>
        <x:v>1.2222222222222223</x:v>
      </x:c>
      <x:c r="Q15" s="55" t="n">
        <x:v>1935</x:v>
      </x:c>
      <x:c r="R15" s="55" t="str"/>
      <x:c r="S15" s="55" t="str">
        <x:v>중개거래</x:v>
      </x:c>
      <x:c r="T15" s="55" t="str">
        <x:v>서울 용산구</x:v>
      </x:c>
      <x:c r="U15" s="55" t="n">
        <x:v>27669559</x:v>
      </x:c>
      <x:c r="V15" s="55" t="str">
        <x:v>활성</x:v>
      </x:c>
    </x:row>
    <x:row r="16">
      <x:c r="A16" s="55" t="n">
        <x:v>12</x:v>
      </x:c>
      <x:c r="B16" s="56" t="n">
        <x:v>46168</x:v>
      </x:c>
      <x:c r="C16" s="61" t="str">
        <x:v>서계동 33-341</x:v>
      </x:c>
      <x:c r="D16" s="61" t="str"/>
      <x:c r="E16" s="55" t="str">
        <x:v>토지</x:v>
      </x:c>
      <x:c r="F16" s="57" t="n">
        <x:v>31000</x:v>
      </x:c>
      <x:c r="G16" s="58" t="n">
        <x:f>IFERROR(F16/10000,"")</x:f>
        <x:v>3.1</x:v>
      </x:c>
      <x:c r="H16" s="55" t="str"/>
      <x:c r="I16" s="59" t="n">
        <x:v>9.3</x:v>
      </x:c>
      <x:c r="J16" s="59" t="n">
        <x:f>IFERROR(I16/3.3058,"")</x:f>
        <x:v>2.8132373404319684</x:v>
      </x:c>
      <x:c r="K16" s="57" t="n">
        <x:f>IFERROR(F16/J16,"")</x:f>
        <x:v>11019.333333333332</x:v>
      </x:c>
      <x:c r="L16" s="59"/>
      <x:c r="M16" s="57" t="str">
        <x:f>IFERROR(F16/(L16/3.3),"")</x:f>
      </x:c>
      <x:c r="N16" s="55" t="str"/>
      <x:c r="O16" s="57"/>
      <x:c r="P16" s="60" t="str">
        <x:f>IFERROR(F16/O16-1,"")</x:f>
      </x:c>
      <x:c r="Q16" s="55"/>
      <x:c r="R16" s="55" t="str"/>
      <x:c r="S16" s="55" t="str">
        <x:v>중개거래</x:v>
      </x:c>
      <x:c r="T16" s="55" t="str">
        <x:v>서울 용산구</x:v>
      </x:c>
      <x:c r="U16" s="55" t="n">
        <x:v>27671420</x:v>
      </x:c>
      <x:c r="V16" s="55" t="str">
        <x:v>활성</x:v>
      </x:c>
    </x:row>
    <x:row r="17">
      <x:c r="A17" s="55" t="n">
        <x:v>13</x:v>
      </x:c>
      <x:c r="B17" s="56" t="n">
        <x:v>46168</x:v>
      </x:c>
      <x:c r="C17" s="61" t="str">
        <x:v>서계동 33-161</x:v>
      </x:c>
      <x:c r="D17" s="61" t="str"/>
      <x:c r="E17" s="55" t="str">
        <x:v>단독주택</x:v>
      </x:c>
      <x:c r="F17" s="57" t="n">
        <x:v>24000</x:v>
      </x:c>
      <x:c r="G17" s="58" t="n">
        <x:f>IFERROR(F17/10000,"")</x:f>
        <x:v>2.4</x:v>
      </x:c>
      <x:c r="H17" s="55" t="str">
        <x:v>단독</x:v>
      </x:c>
      <x:c r="I17" s="59" t="n">
        <x:v>7.2</x:v>
      </x:c>
      <x:c r="J17" s="59" t="n">
        <x:f>IFERROR(I17/3.3058,"")</x:f>
        <x:v>2.177990199044104</x:v>
      </x:c>
      <x:c r="K17" s="57" t="n">
        <x:f>IFERROR(F17/J17,"")</x:f>
        <x:v>11019.333333333334</x:v>
      </x:c>
      <x:c r="L17" s="59" t="n">
        <x:v>9.92</x:v>
      </x:c>
      <x:c r="M17" s="57" t="n">
        <x:f>IFERROR(F17/(L17/3.3),"")</x:f>
        <x:v>7983.870967741935</x:v>
      </x:c>
      <x:c r="N17" s="55" t="str"/>
      <x:c r="O17" s="57" t="n">
        <x:v>10800</x:v>
      </x:c>
      <x:c r="P17" s="60" t="n">
        <x:f>IFERROR(F17/O17-1,"")</x:f>
        <x:v>1.2222222222222223</x:v>
      </x:c>
      <x:c r="Q17" s="55" t="n">
        <x:v>1935</x:v>
      </x:c>
      <x:c r="R17" s="55" t="str"/>
      <x:c r="S17" s="55" t="str">
        <x:v>중개거래</x:v>
      </x:c>
      <x:c r="T17" s="55" t="str">
        <x:v>서울 용산구</x:v>
      </x:c>
      <x:c r="U17" s="55" t="n">
        <x:v>27669542</x:v>
      </x:c>
      <x:c r="V17" s="55" t="str">
        <x:v>활성</x:v>
      </x:c>
    </x:row>
    <x:row r="18">
      <x:c r="A18" s="55" t="n">
        <x:v>14</x:v>
      </x:c>
      <x:c r="B18" s="56" t="n">
        <x:v>46164</x:v>
      </x:c>
      <x:c r="C18" s="61" t="str">
        <x:v>서계동 257-4</x:v>
      </x:c>
      <x:c r="D18" s="61" t="str">
        <x:v>(257-4)</x:v>
      </x:c>
      <x:c r="E18" s="55" t="str">
        <x:v>다세대주택</x:v>
      </x:c>
      <x:c r="F18" s="57" t="n">
        <x:v>66000</x:v>
      </x:c>
      <x:c r="G18" s="58" t="n">
        <x:f>IFERROR(F18/10000,"")</x:f>
        <x:v>6.6</x:v>
      </x:c>
      <x:c r="H18" s="55" t="str">
        <x:v>다세대</x:v>
      </x:c>
      <x:c r="I18" s="59" t="n">
        <x:v>11.98</x:v>
      </x:c>
      <x:c r="J18" s="59" t="n">
        <x:f>IFERROR(I18/3.3058,"")</x:f>
        <x:v>3.623933692298385</x:v>
      </x:c>
      <x:c r="K18" s="57" t="n">
        <x:f>IFERROR(F18/J18,"")</x:f>
        <x:v>18212.253756260434</x:v>
      </x:c>
      <x:c r="L18" s="59" t="n">
        <x:v>35.3</x:v>
      </x:c>
      <x:c r="M18" s="57" t="n">
        <x:f>IFERROR(F18/(L18/3.3),"")</x:f>
        <x:v>6169.971671388102</x:v>
      </x:c>
      <x:c r="N18" s="55" t="str">
        <x:v>-1</x:v>
      </x:c>
      <x:c r="O18" s="57" t="n">
        <x:v>15000</x:v>
      </x:c>
      <x:c r="P18" s="60" t="n">
        <x:f>IFERROR(F18/O18-1,"")</x:f>
        <x:v>3.4000000000000004</x:v>
      </x:c>
      <x:c r="Q18" s="55" t="n">
        <x:v>1998</x:v>
      </x:c>
      <x:c r="R18" s="55" t="str">
        <x:v>지하</x:v>
      </x:c>
      <x:c r="S18" s="55" t="str">
        <x:v>중개거래</x:v>
      </x:c>
      <x:c r="T18" s="55" t="str">
        <x:v>서울 용산구</x:v>
      </x:c>
      <x:c r="U18" s="55" t="n">
        <x:v>27664109</x:v>
      </x:c>
      <x:c r="V18" s="55" t="str">
        <x:v>활성</x:v>
      </x:c>
    </x:row>
    <x:row r="19">
      <x:c r="A19" s="55" t="n">
        <x:v>15</x:v>
      </x:c>
      <x:c r="B19" s="56" t="n">
        <x:v>46149</x:v>
      </x:c>
      <x:c r="C19" s="61" t="str">
        <x:v>서계동 33-233</x:v>
      </x:c>
      <x:c r="D19" s="61" t="str">
        <x:v>오브레더서계</x:v>
      </x:c>
      <x:c r="E19" s="55" t="str">
        <x:v>다세대주택</x:v>
      </x:c>
      <x:c r="F19" s="57" t="n">
        <x:v>75000</x:v>
      </x:c>
      <x:c r="G19" s="58" t="n">
        <x:f>IFERROR(F19/10000,"")</x:f>
        <x:v>7.5</x:v>
      </x:c>
      <x:c r="H19" s="55" t="str">
        <x:v>다세대</x:v>
      </x:c>
      <x:c r="I19" s="59" t="n">
        <x:v>21.75</x:v>
      </x:c>
      <x:c r="J19" s="59" t="n">
        <x:f>IFERROR(I19/3.3058,"")</x:f>
        <x:v>6.579345392945732</x:v>
      </x:c>
      <x:c r="K19" s="57" t="n">
        <x:f>IFERROR(F19/J19,"")</x:f>
        <x:v>11399.310344827585</x:v>
      </x:c>
      <x:c r="L19" s="59" t="n">
        <x:v>29.99</x:v>
      </x:c>
      <x:c r="M19" s="57" t="n">
        <x:f>IFERROR(F19/(L19/3.3),"")</x:f>
        <x:v>8252.750916972323</x:v>
      </x:c>
      <x:c r="N19" s="55" t="str">
        <x:v>2</x:v>
      </x:c>
      <x:c r="O19" s="57" t="n">
        <x:v>47200</x:v>
      </x:c>
      <x:c r="P19" s="60" t="n">
        <x:f>IFERROR(F19/O19-1,"")</x:f>
        <x:v>0.5889830508474576</x:v>
      </x:c>
      <x:c r="Q19" s="55" t="n">
        <x:v>2022</x:v>
      </x:c>
      <x:c r="R19" s="55" t="str">
        <x:v>비지하</x:v>
      </x:c>
      <x:c r="S19" s="55" t="str">
        <x:v>중개거래</x:v>
      </x:c>
      <x:c r="T19" s="55" t="str">
        <x:v>서울 용산구</x:v>
      </x:c>
      <x:c r="U19" s="55" t="n">
        <x:v>27664144</x:v>
      </x:c>
      <x:c r="V19" s="55" t="str">
        <x:v>활성</x:v>
      </x:c>
    </x:row>
    <x:row r="20">
      <x:c r="A20" s="55" t="n">
        <x:v>16</x:v>
      </x:c>
      <x:c r="B20" s="56" t="n">
        <x:v>46143</x:v>
      </x:c>
      <x:c r="C20" s="61" t="str">
        <x:v>서계동 238-27</x:v>
      </x:c>
      <x:c r="D20" s="61" t="str"/>
      <x:c r="E20" s="55" t="str">
        <x:v>단독주택</x:v>
      </x:c>
      <x:c r="F20" s="57" t="n">
        <x:v>70000</x:v>
      </x:c>
      <x:c r="G20" s="58" t="n">
        <x:f>IFERROR(F20/10000,"")</x:f>
        <x:v>7</x:v>
      </x:c>
      <x:c r="H20" s="55" t="str">
        <x:v>단독</x:v>
      </x:c>
      <x:c r="I20" s="59" t="n">
        <x:v>35.7</x:v>
      </x:c>
      <x:c r="J20" s="59" t="n">
        <x:f>IFERROR(I20/3.3058,"")</x:f>
        <x:v>10.799201403593685</x:v>
      </x:c>
      <x:c r="K20" s="57" t="n">
        <x:f>IFERROR(F20/J20,"")</x:f>
        <x:v>6481.960784313725</x:v>
      </x:c>
      <x:c r="L20" s="59" t="n">
        <x:v>14.26</x:v>
      </x:c>
      <x:c r="M20" s="57" t="n">
        <x:f>IFERROR(F20/(L20/3.3),"")</x:f>
        <x:v>16199.158485273492</x:v>
      </x:c>
      <x:c r="N20" s="55" t="str"/>
      <x:c r="O20" s="57" t="n">
        <x:v>20000</x:v>
      </x:c>
      <x:c r="P20" s="60" t="n">
        <x:f>IFERROR(F20/O20-1,"")</x:f>
        <x:v>2.5</x:v>
      </x:c>
      <x:c r="Q20" s="55" t="n">
        <x:v>2007</x:v>
      </x:c>
      <x:c r="R20" s="55" t="str"/>
      <x:c r="S20" s="55" t="str">
        <x:v>중개거래</x:v>
      </x:c>
      <x:c r="T20" s="55" t="str">
        <x:v>서울 마포구, 서울 용산구</x:v>
      </x:c>
      <x:c r="U20" s="55" t="n">
        <x:v>27669572</x:v>
      </x:c>
      <x:c r="V20" s="55" t="str">
        <x:v>활성</x:v>
      </x:c>
    </x:row>
    <x:row r="21">
      <x:c r="A21" s="55" t="n">
        <x:v>17</x:v>
      </x:c>
      <x:c r="B21" s="56" t="n">
        <x:v>46143</x:v>
      </x:c>
      <x:c r="C21" s="61" t="str">
        <x:v>서계동 54-12</x:v>
      </x:c>
      <x:c r="D21" s="61" t="str">
        <x:v>미도A</x:v>
      </x:c>
      <x:c r="E21" s="55" t="str">
        <x:v>다세대주택</x:v>
      </x:c>
      <x:c r="F21" s="57" t="n">
        <x:v>100000</x:v>
      </x:c>
      <x:c r="G21" s="58" t="n">
        <x:f>IFERROR(F21/10000,"")</x:f>
        <x:v>10</x:v>
      </x:c>
      <x:c r="H21" s="55" t="str">
        <x:v>다세대</x:v>
      </x:c>
      <x:c r="I21" s="59" t="n">
        <x:v>33.94</x:v>
      </x:c>
      <x:c r="J21" s="59" t="n">
        <x:f>IFERROR(I21/3.3058,"")</x:f>
        <x:v>10.266803799382902</x:v>
      </x:c>
      <x:c r="K21" s="57" t="n">
        <x:f>IFERROR(F21/J21,"")</x:f>
        <x:v>9740.129640542133</x:v>
      </x:c>
      <x:c r="L21" s="59" t="n">
        <x:v>50.82</x:v>
      </x:c>
      <x:c r="M21" s="57" t="n">
        <x:f>IFERROR(F21/(L21/3.3),"")</x:f>
        <x:v>6493.506493506493</x:v>
      </x:c>
      <x:c r="N21" s="55" t="str">
        <x:v>2</x:v>
      </x:c>
      <x:c r="O21" s="57" t="n">
        <x:v>52200</x:v>
      </x:c>
      <x:c r="P21" s="60" t="n">
        <x:f>IFERROR(F21/O21-1,"")</x:f>
        <x:v>0.9157088122605364</x:v>
      </x:c>
      <x:c r="Q21" s="55" t="n">
        <x:v>1987</x:v>
      </x:c>
      <x:c r="R21" s="55" t="str">
        <x:v>비지하</x:v>
      </x:c>
      <x:c r="S21" s="55" t="str">
        <x:v>중개거래</x:v>
      </x:c>
      <x:c r="T21" s="55" t="str">
        <x:v>서울 용산구</x:v>
      </x:c>
      <x:c r="U21" s="55" t="n">
        <x:v>27664188</x:v>
      </x:c>
      <x:c r="V21" s="55" t="str">
        <x:v>활성</x:v>
      </x:c>
    </x:row>
    <x:row r="22">
      <x:c r="A22" s="55" t="n">
        <x:v>18</x:v>
      </x:c>
      <x:c r="B22" s="56" t="n">
        <x:v>46143</x:v>
      </x:c>
      <x:c r="C22" s="61" t="str">
        <x:v>청파동1가 1-15</x:v>
      </x:c>
      <x:c r="D22" s="61" t="str">
        <x:v>1-15</x:v>
      </x:c>
      <x:c r="E22" s="55" t="str">
        <x:v>다세대주택</x:v>
      </x:c>
      <x:c r="F22" s="57" t="n">
        <x:v>80000</x:v>
      </x:c>
      <x:c r="G22" s="58" t="n">
        <x:f>IFERROR(F22/10000,"")</x:f>
        <x:v>8</x:v>
      </x:c>
      <x:c r="H22" s="55" t="str">
        <x:v>다세대</x:v>
      </x:c>
      <x:c r="I22" s="59" t="n">
        <x:v>21.71</x:v>
      </x:c>
      <x:c r="J22" s="59" t="n">
        <x:f>IFERROR(I22/3.3058,"")</x:f>
        <x:v>6.567245447395487</x:v>
      </x:c>
      <x:c r="K22" s="57" t="n">
        <x:f>IFERROR(F22/J22,"")</x:f>
        <x:v>12181.667434362045</x:v>
      </x:c>
      <x:c r="L22" s="59" t="n">
        <x:v>26.84</x:v>
      </x:c>
      <x:c r="M22" s="57" t="n">
        <x:f>IFERROR(F22/(L22/3.3),"")</x:f>
        <x:v>9836.065573770493</x:v>
      </x:c>
      <x:c r="N22" s="55" t="str">
        <x:v>1</x:v>
      </x:c>
      <x:c r="O22" s="57" t="n">
        <x:v>25400</x:v>
      </x:c>
      <x:c r="P22" s="60" t="n">
        <x:f>IFERROR(F22/O22-1,"")</x:f>
        <x:v>2.1496062992125986</x:v>
      </x:c>
      <x:c r="Q22" s="55" t="n">
        <x:v>2015</x:v>
      </x:c>
      <x:c r="R22" s="55" t="str">
        <x:v>비지하</x:v>
      </x:c>
      <x:c r="S22" s="55" t="str">
        <x:v>중개거래</x:v>
      </x:c>
      <x:c r="T22" s="55" t="str">
        <x:v>서울 용산구</x:v>
      </x:c>
      <x:c r="U22" s="55" t="n">
        <x:v>27664169</x:v>
      </x:c>
      <x:c r="V22" s="55" t="str">
        <x:v>활성</x:v>
      </x:c>
    </x:row>
    <x:row r="23">
      <x:c r="A23" s="55" t="n">
        <x:v>19</x:v>
      </x:c>
      <x:c r="B23" s="56" t="n">
        <x:v>46141</x:v>
      </x:c>
      <x:c r="C23" s="61" t="str">
        <x:v>서계동 246-38</x:v>
      </x:c>
      <x:c r="D23" s="61" t="str">
        <x:v>(246-38)</x:v>
      </x:c>
      <x:c r="E23" s="55" t="str">
        <x:v>다세대주택</x:v>
      </x:c>
      <x:c r="F23" s="57" t="n">
        <x:v>50000</x:v>
      </x:c>
      <x:c r="G23" s="58" t="n">
        <x:f>IFERROR(F23/10000,"")</x:f>
        <x:v>5</x:v>
      </x:c>
      <x:c r="H23" s="55" t="str">
        <x:v>다세대</x:v>
      </x:c>
      <x:c r="I23" s="59" t="n">
        <x:v>9.87</x:v>
      </x:c>
      <x:c r="J23" s="59" t="n">
        <x:f>IFERROR(I23/3.3058,"")</x:f>
        <x:v>2.9856615645229594</x:v>
      </x:c>
      <x:c r="K23" s="57" t="n">
        <x:f>IFERROR(F23/J23,"")</x:f>
        <x:v>16746.707193515707</x:v>
      </x:c>
      <x:c r="L23" s="59" t="n">
        <x:v>28.19</x:v>
      </x:c>
      <x:c r="M23" s="57" t="n">
        <x:f>IFERROR(F23/(L23/3.3),"")</x:f>
        <x:v>5853.139411138702</x:v>
      </x:c>
      <x:c r="N23" s="55" t="str">
        <x:v>-1</x:v>
      </x:c>
      <x:c r="O23" s="57" t="n">
        <x:v>13000</x:v>
      </x:c>
      <x:c r="P23" s="60" t="n">
        <x:f>IFERROR(F23/O23-1,"")</x:f>
        <x:v>2.8461538461538463</x:v>
      </x:c>
      <x:c r="Q23" s="55" t="n">
        <x:v>1998</x:v>
      </x:c>
      <x:c r="R23" s="55" t="str">
        <x:v>지하</x:v>
      </x:c>
      <x:c r="S23" s="55" t="str">
        <x:v>중개거래</x:v>
      </x:c>
      <x:c r="T23" s="55" t="str">
        <x:v>서울 용산구</x:v>
      </x:c>
      <x:c r="U23" s="55" t="n">
        <x:v>24959318</x:v>
      </x:c>
      <x:c r="V23" s="55" t="str">
        <x:v>활성</x:v>
      </x:c>
    </x:row>
    <x:row r="24">
      <x:c r="A24" s="55" t="n">
        <x:v>20</x:v>
      </x:c>
      <x:c r="B24" s="56" t="n">
        <x:v>46139</x:v>
      </x:c>
      <x:c r="C24" s="61" t="str">
        <x:v>서계동 246-2</x:v>
      </x:c>
      <x:c r="D24" s="61" t="str">
        <x:v>수정빌라(246-2)</x:v>
      </x:c>
      <x:c r="E24" s="55" t="str">
        <x:v>다세대주택</x:v>
      </x:c>
      <x:c r="F24" s="57" t="n">
        <x:v>60000</x:v>
      </x:c>
      <x:c r="G24" s="58" t="n">
        <x:f>IFERROR(F24/10000,"")</x:f>
        <x:v>6</x:v>
      </x:c>
      <x:c r="H24" s="55" t="str">
        <x:v>다세대</x:v>
      </x:c>
      <x:c r="I24" s="59" t="n">
        <x:v>15.36</x:v>
      </x:c>
      <x:c r="J24" s="59" t="n">
        <x:f>IFERROR(I24/3.3058,"")</x:f>
        <x:v>4.646379091294089</x:v>
      </x:c>
      <x:c r="K24" s="57" t="n">
        <x:f>IFERROR(F24/J24,"")</x:f>
        <x:v>12913.28125</x:v>
      </x:c>
      <x:c r="L24" s="59" t="n">
        <x:v>40.17</x:v>
      </x:c>
      <x:c r="M24" s="57" t="n">
        <x:f>IFERROR(F24/(L24/3.3),"")</x:f>
        <x:v>4929.051530993278</x:v>
      </x:c>
      <x:c r="N24" s="55" t="str">
        <x:v>4</x:v>
      </x:c>
      <x:c r="O24" s="57" t="n">
        <x:v>24100</x:v>
      </x:c>
      <x:c r="P24" s="60" t="n">
        <x:f>IFERROR(F24/O24-1,"")</x:f>
        <x:v>1.4896265560165975</x:v>
      </x:c>
      <x:c r="Q24" s="55" t="n">
        <x:v>1997</x:v>
      </x:c>
      <x:c r="R24" s="55" t="str">
        <x:v>비지하</x:v>
      </x:c>
      <x:c r="S24" s="55" t="str">
        <x:v>직거래</x:v>
      </x:c>
      <x:c r="T24" s="55" t="str"/>
      <x:c r="U24" s="55" t="n">
        <x:v>24959323</x:v>
      </x:c>
      <x:c r="V24" s="55" t="str">
        <x:v>활성</x:v>
      </x:c>
    </x:row>
    <x:row r="25">
      <x:c r="A25" s="55" t="n">
        <x:v>21</x:v>
      </x:c>
      <x:c r="B25" s="56" t="n">
        <x:v>46134</x:v>
      </x:c>
      <x:c r="C25" s="61" t="str">
        <x:v>서계동 33-12</x:v>
      </x:c>
      <x:c r="D25" s="61" t="str"/>
      <x:c r="E25" s="55" t="str">
        <x:v>단독주택</x:v>
      </x:c>
      <x:c r="F25" s="57" t="n">
        <x:v>320000</x:v>
      </x:c>
      <x:c r="G25" s="58" t="n">
        <x:f>IFERROR(F25/10000,"")</x:f>
        <x:v>32</x:v>
      </x:c>
      <x:c r="H25" s="55" t="str">
        <x:v>다가구</x:v>
      </x:c>
      <x:c r="I25" s="59" t="n">
        <x:v>218.2</x:v>
      </x:c>
      <x:c r="J25" s="59" t="n">
        <x:f>IFERROR(I25/3.3058,"")</x:f>
        <x:v>66.0052029765866</x:v>
      </x:c>
      <x:c r="K25" s="57" t="n">
        <x:f>IFERROR(F25/J25,"")</x:f>
        <x:v>4848.102658111824</x:v>
      </x:c>
      <x:c r="L25" s="59" t="n">
        <x:v>495.2</x:v>
      </x:c>
      <x:c r="M25" s="57" t="n">
        <x:f>IFERROR(F25/(L25/3.3),"")</x:f>
        <x:v>2132.471728594507</x:v>
      </x:c>
      <x:c r="N25" s="55" t="str"/>
      <x:c r="O25" s="57" t="n">
        <x:v>126200</x:v>
      </x:c>
      <x:c r="P25" s="60" t="n">
        <x:f>IFERROR(F25/O25-1,"")</x:f>
        <x:v>1.5356576862123612</x:v>
      </x:c>
      <x:c r="Q25" s="55" t="n">
        <x:v>1996</x:v>
      </x:c>
      <x:c r="R25" s="55" t="str"/>
      <x:c r="S25" s="55" t="str">
        <x:v>중개거래</x:v>
      </x:c>
      <x:c r="T25" s="55" t="str">
        <x:v>경기 안성시, 서울 용산구</x:v>
      </x:c>
      <x:c r="U25" s="55" t="n">
        <x:v>24966448</x:v>
      </x:c>
      <x:c r="V25" s="55" t="str">
        <x:v>활성</x:v>
      </x:c>
    </x:row>
    <x:row r="26">
      <x:c r="A26" s="55" t="n">
        <x:v>22</x:v>
      </x:c>
      <x:c r="B26" s="56" t="n">
        <x:v>46134</x:v>
      </x:c>
      <x:c r="C26" s="61" t="str">
        <x:v>서계동 246-38</x:v>
      </x:c>
      <x:c r="D26" s="61" t="str">
        <x:v>(246-38)</x:v>
      </x:c>
      <x:c r="E26" s="55" t="str">
        <x:v>다세대주택</x:v>
      </x:c>
      <x:c r="F26" s="57" t="n">
        <x:v>55000</x:v>
      </x:c>
      <x:c r="G26" s="58" t="n">
        <x:f>IFERROR(F26/10000,"")</x:f>
        <x:v>5.5</x:v>
      </x:c>
      <x:c r="H26" s="55" t="str">
        <x:v>다세대</x:v>
      </x:c>
      <x:c r="I26" s="59" t="n">
        <x:v>9.87</x:v>
      </x:c>
      <x:c r="J26" s="59" t="n">
        <x:f>IFERROR(I26/3.3058,"")</x:f>
        <x:v>2.9856615645229594</x:v>
      </x:c>
      <x:c r="K26" s="57" t="n">
        <x:f>IFERROR(F26/J26,"")</x:f>
        <x:v>18421.377912867276</x:v>
      </x:c>
      <x:c r="L26" s="59" t="n">
        <x:v>28.19</x:v>
      </x:c>
      <x:c r="M26" s="57" t="n">
        <x:f>IFERROR(F26/(L26/3.3),"")</x:f>
        <x:v>6438.453352252572</x:v>
      </x:c>
      <x:c r="N26" s="55" t="str">
        <x:v>3</x:v>
      </x:c>
      <x:c r="O26" s="57" t="n">
        <x:v>17400</x:v>
      </x:c>
      <x:c r="P26" s="60" t="n">
        <x:f>IFERROR(F26/O26-1,"")</x:f>
        <x:v>2.160919540229885</x:v>
      </x:c>
      <x:c r="Q26" s="55" t="n">
        <x:v>1998</x:v>
      </x:c>
      <x:c r="R26" s="55" t="str">
        <x:v>비지하</x:v>
      </x:c>
      <x:c r="S26" s="55" t="str">
        <x:v>중개거래</x:v>
      </x:c>
      <x:c r="T26" s="55" t="str">
        <x:v>서울 마포구</x:v>
      </x:c>
      <x:c r="U26" s="55" t="n">
        <x:v>24959344</x:v>
      </x:c>
      <x:c r="V26" s="55" t="str">
        <x:v>활성</x:v>
      </x:c>
    </x:row>
    <x:row r="27">
      <x:c r="A27" s="55" t="n">
        <x:v>23</x:v>
      </x:c>
      <x:c r="B27" s="56" t="n">
        <x:v>46134</x:v>
      </x:c>
      <x:c r="C27" s="61" t="str">
        <x:v>서계동 246-38</x:v>
      </x:c>
      <x:c r="D27" s="61" t="str">
        <x:v>(246-38)</x:v>
      </x:c>
      <x:c r="E27" s="55" t="str">
        <x:v>다세대주택</x:v>
      </x:c>
      <x:c r="F27" s="57" t="n">
        <x:v>65000</x:v>
      </x:c>
      <x:c r="G27" s="58" t="n">
        <x:f>IFERROR(F27/10000,"")</x:f>
        <x:v>6.5</x:v>
      </x:c>
      <x:c r="H27" s="55" t="str">
        <x:v>다세대</x:v>
      </x:c>
      <x:c r="I27" s="59" t="n">
        <x:v>11.5</x:v>
      </x:c>
      <x:c r="J27" s="59" t="n">
        <x:f>IFERROR(I27/3.3058,"")</x:f>
        <x:v>3.4787343456954445</x:v>
      </x:c>
      <x:c r="K27" s="57" t="n">
        <x:f>IFERROR(F27/J27,"")</x:f>
        <x:v>18684.95652173913</x:v>
      </x:c>
      <x:c r="L27" s="59" t="n">
        <x:v>32.82</x:v>
      </x:c>
      <x:c r="M27" s="57" t="n">
        <x:f>IFERROR(F27/(L27/3.3),"")</x:f>
        <x:v>6535.648994515539</x:v>
      </x:c>
      <x:c r="N27" s="55" t="str">
        <x:v>2</x:v>
      </x:c>
      <x:c r="O27" s="57" t="n">
        <x:v>20100</x:v>
      </x:c>
      <x:c r="P27" s="60" t="n">
        <x:f>IFERROR(F27/O27-1,"")</x:f>
        <x:v>2.2338308457711444</x:v>
      </x:c>
      <x:c r="Q27" s="55" t="n">
        <x:v>1998</x:v>
      </x:c>
      <x:c r="R27" s="55" t="str">
        <x:v>비지하</x:v>
      </x:c>
      <x:c r="S27" s="55" t="str">
        <x:v>중개거래</x:v>
      </x:c>
      <x:c r="T27" s="55" t="str">
        <x:v>서울 마포구, 서울 용산구</x:v>
      </x:c>
      <x:c r="U27" s="55" t="n">
        <x:v>24959299</x:v>
      </x:c>
      <x:c r="V27" s="55" t="str">
        <x:v>활성</x:v>
      </x:c>
    </x:row>
    <x:row r="28">
      <x:c r="A28" s="55" t="n">
        <x:v>24</x:v>
      </x:c>
      <x:c r="B28" s="56" t="n">
        <x:v>46133</x:v>
      </x:c>
      <x:c r="C28" s="61" t="str">
        <x:v>서계동 242-2</x:v>
      </x:c>
      <x:c r="D28" s="61" t="str">
        <x:v>242-2</x:v>
      </x:c>
      <x:c r="E28" s="55" t="str">
        <x:v>다세대주택</x:v>
      </x:c>
      <x:c r="F28" s="57" t="n">
        <x:v>45300</x:v>
      </x:c>
      <x:c r="G28" s="58" t="n">
        <x:f>IFERROR(F28/10000,"")</x:f>
        <x:v>4.53</x:v>
      </x:c>
      <x:c r="H28" s="55" t="str">
        <x:v>다세대</x:v>
      </x:c>
      <x:c r="I28" s="59" t="n">
        <x:v>17.5495</x:v>
      </x:c>
      <x:c r="J28" s="59" t="n">
        <x:f>IFERROR(I28/3.3058,"")</x:f>
        <x:v>5.308699860850625</x:v>
      </x:c>
      <x:c r="K28" s="57" t="n">
        <x:f>IFERROR(F28/J28,"")</x:f>
        <x:v>8533.162768170036</x:v>
      </x:c>
      <x:c r="L28" s="59" t="n">
        <x:v>25.36</x:v>
      </x:c>
      <x:c r="M28" s="57" t="n">
        <x:f>IFERROR(F28/(L28/3.3),"")</x:f>
        <x:v>5894.716088328075</x:v>
      </x:c>
      <x:c r="N28" s="55" t="str">
        <x:v>5</x:v>
      </x:c>
      <x:c r="O28" s="57" t="n">
        <x:v>38700</x:v>
      </x:c>
      <x:c r="P28" s="60" t="n">
        <x:f>IFERROR(F28/O28-1,"")</x:f>
        <x:v>0.1705426356589148</x:v>
      </x:c>
      <x:c r="Q28" s="55" t="n">
        <x:v>2021</x:v>
      </x:c>
      <x:c r="R28" s="55" t="str">
        <x:v>비지하</x:v>
      </x:c>
      <x:c r="S28" s="55" t="str">
        <x:v>직거래</x:v>
      </x:c>
      <x:c r="T28" s="55" t="str"/>
      <x:c r="U28" s="55" t="n">
        <x:v>24959341</x:v>
      </x:c>
      <x:c r="V28" s="55" t="str">
        <x:v>활성</x:v>
      </x:c>
    </x:row>
    <x:row r="29">
      <x:c r="A29" s="55" t="n">
        <x:v>25</x:v>
      </x:c>
      <x:c r="B29" s="56" t="n">
        <x:v>46132</x:v>
      </x:c>
      <x:c r="C29" s="61" t="str">
        <x:v>서계동 246-38</x:v>
      </x:c>
      <x:c r="D29" s="61" t="str">
        <x:v>(246-38)</x:v>
      </x:c>
      <x:c r="E29" s="55" t="str">
        <x:v>다세대주택</x:v>
      </x:c>
      <x:c r="F29" s="57" t="n">
        <x:v>54800</x:v>
      </x:c>
      <x:c r="G29" s="58" t="n">
        <x:f>IFERROR(F29/10000,"")</x:f>
        <x:v>5.48</x:v>
      </x:c>
      <x:c r="H29" s="55" t="str">
        <x:v>다세대</x:v>
      </x:c>
      <x:c r="I29" s="59" t="n">
        <x:v>9.87</x:v>
      </x:c>
      <x:c r="J29" s="59" t="n">
        <x:f>IFERROR(I29/3.3058,"")</x:f>
        <x:v>2.9856615645229594</x:v>
      </x:c>
      <x:c r="K29" s="57" t="n">
        <x:f>IFERROR(F29/J29,"")</x:f>
        <x:v>18354.391084093215</x:v>
      </x:c>
      <x:c r="L29" s="59" t="n">
        <x:v>28.19</x:v>
      </x:c>
      <x:c r="M29" s="57" t="n">
        <x:f>IFERROR(F29/(L29/3.3),"")</x:f>
        <x:v>6415.040794608017</x:v>
      </x:c>
      <x:c r="N29" s="55" t="str">
        <x:v>2</x:v>
      </x:c>
      <x:c r="O29" s="57" t="n">
        <x:v>17400</x:v>
      </x:c>
      <x:c r="P29" s="60" t="n">
        <x:f>IFERROR(F29/O29-1,"")</x:f>
        <x:v>2.1494252873563218</x:v>
      </x:c>
      <x:c r="Q29" s="55" t="n">
        <x:v>1998</x:v>
      </x:c>
      <x:c r="R29" s="55" t="str">
        <x:v>비지하</x:v>
      </x:c>
      <x:c r="S29" s="55" t="str">
        <x:v>중개거래</x:v>
      </x:c>
      <x:c r="T29" s="55" t="str">
        <x:v>서울 용산구, 서울 중구</x:v>
      </x:c>
      <x:c r="U29" s="55" t="n">
        <x:v>24959349</x:v>
      </x:c>
      <x:c r="V29" s="55" t="str">
        <x:v>활성</x:v>
      </x:c>
    </x:row>
    <x:row r="30">
      <x:c r="A30" s="55" t="n">
        <x:v>26</x:v>
      </x:c>
      <x:c r="B30" s="56" t="n">
        <x:v>46132</x:v>
      </x:c>
      <x:c r="C30" s="61" t="str">
        <x:v>서계동 246-38</x:v>
      </x:c>
      <x:c r="D30" s="61" t="str">
        <x:v>(246-38)</x:v>
      </x:c>
      <x:c r="E30" s="55" t="str">
        <x:v>다세대주택</x:v>
      </x:c>
      <x:c r="F30" s="57" t="n">
        <x:v>55000</x:v>
      </x:c>
      <x:c r="G30" s="58" t="n">
        <x:f>IFERROR(F30/10000,"")</x:f>
        <x:v>5.5</x:v>
      </x:c>
      <x:c r="H30" s="55" t="str">
        <x:v>다세대</x:v>
      </x:c>
      <x:c r="I30" s="59" t="n">
        <x:v>11.5</x:v>
      </x:c>
      <x:c r="J30" s="59" t="n">
        <x:f>IFERROR(I30/3.3058,"")</x:f>
        <x:v>3.4787343456954445</x:v>
      </x:c>
      <x:c r="K30" s="57" t="n">
        <x:f>IFERROR(F30/J30,"")</x:f>
        <x:v>15810.347826086956</x:v>
      </x:c>
      <x:c r="L30" s="59" t="n">
        <x:v>32.82</x:v>
      </x:c>
      <x:c r="M30" s="57" t="n">
        <x:f>IFERROR(F30/(L30/3.3),"")</x:f>
        <x:v>5530.164533820841</x:v>
      </x:c>
      <x:c r="N30" s="55" t="str">
        <x:v>-1</x:v>
      </x:c>
      <x:c r="O30" s="57" t="n">
        <x:v>15200</x:v>
      </x:c>
      <x:c r="P30" s="60" t="n">
        <x:f>IFERROR(F30/O30-1,"")</x:f>
        <x:v>2.6184210526315788</x:v>
      </x:c>
      <x:c r="Q30" s="55" t="n">
        <x:v>1998</x:v>
      </x:c>
      <x:c r="R30" s="55" t="str">
        <x:v>지하</x:v>
      </x:c>
      <x:c r="S30" s="55" t="str">
        <x:v>중개거래</x:v>
      </x:c>
      <x:c r="T30" s="55" t="str">
        <x:v>서울 용산구</x:v>
      </x:c>
      <x:c r="U30" s="55" t="n">
        <x:v>24959346</x:v>
      </x:c>
      <x:c r="V30" s="55" t="str">
        <x:v>활성</x:v>
      </x:c>
    </x:row>
    <x:row r="31">
      <x:c r="A31" s="55" t="n">
        <x:v>27</x:v>
      </x:c>
      <x:c r="B31" s="56" t="n">
        <x:v>46129</x:v>
      </x:c>
      <x:c r="C31" s="61" t="str">
        <x:v>서계동 246-38</x:v>
      </x:c>
      <x:c r="D31" s="61" t="str">
        <x:v>(246-38)</x:v>
      </x:c>
      <x:c r="E31" s="55" t="str">
        <x:v>다세대주택</x:v>
      </x:c>
      <x:c r="F31" s="57" t="n">
        <x:v>54000</x:v>
      </x:c>
      <x:c r="G31" s="58" t="n">
        <x:f>IFERROR(F31/10000,"")</x:f>
        <x:v>5.4</x:v>
      </x:c>
      <x:c r="H31" s="55" t="str">
        <x:v>다세대</x:v>
      </x:c>
      <x:c r="I31" s="59" t="n">
        <x:v>9.29</x:v>
      </x:c>
      <x:c r="J31" s="59" t="n">
        <x:f>IFERROR(I31/3.3058,"")</x:f>
        <x:v>2.8102123540444066</x:v>
      </x:c>
      <x:c r="K31" s="57" t="n">
        <x:f>IFERROR(F31/J31,"")</x:f>
        <x:v>19215.62970936491</x:v>
      </x:c>
      <x:c r="L31" s="59" t="n">
        <x:v>26.51</x:v>
      </x:c>
      <x:c r="M31" s="57" t="n">
        <x:f>IFERROR(F31/(L31/3.3),"")</x:f>
        <x:v>6721.991701244812</x:v>
      </x:c>
      <x:c r="N31" s="55" t="str">
        <x:v>1</x:v>
      </x:c>
      <x:c r="O31" s="57" t="n">
        <x:v>16200</x:v>
      </x:c>
      <x:c r="P31" s="60" t="n">
        <x:f>IFERROR(F31/O31-1,"")</x:f>
        <x:v>2.3333333333333335</x:v>
      </x:c>
      <x:c r="Q31" s="55" t="n">
        <x:v>1998</x:v>
      </x:c>
      <x:c r="R31" s="55" t="str">
        <x:v>비지하</x:v>
      </x:c>
      <x:c r="S31" s="55" t="str">
        <x:v>중개거래</x:v>
      </x:c>
      <x:c r="T31" s="55" t="str">
        <x:v>서울 용산구, 서울 중구</x:v>
      </x:c>
      <x:c r="U31" s="55" t="n">
        <x:v>24959356</x:v>
      </x:c>
      <x:c r="V31" s="55" t="str">
        <x:v>활성</x:v>
      </x:c>
    </x:row>
    <x:row r="32">
      <x:c r="A32" s="55" t="n">
        <x:v>28</x:v>
      </x:c>
      <x:c r="B32" s="56" t="n">
        <x:v>46129</x:v>
      </x:c>
      <x:c r="C32" s="61" t="str">
        <x:v>청파동1가 1-57</x:v>
      </x:c>
      <x:c r="D32" s="61" t="str">
        <x:v>홍은빌라</x:v>
      </x:c>
      <x:c r="E32" s="55" t="str">
        <x:v>다세대주택</x:v>
      </x:c>
      <x:c r="F32" s="57" t="n">
        <x:v>85000</x:v>
      </x:c>
      <x:c r="G32" s="58" t="n">
        <x:f>IFERROR(F32/10000,"")</x:f>
        <x:v>8.5</x:v>
      </x:c>
      <x:c r="H32" s="55" t="str">
        <x:v>다세대</x:v>
      </x:c>
      <x:c r="I32" s="59" t="n">
        <x:v>31.16</x:v>
      </x:c>
      <x:c r="J32" s="59" t="n">
        <x:f>IFERROR(I32/3.3058,"")</x:f>
        <x:v>9.425857583640873</x:v>
      </x:c>
      <x:c r="K32" s="57" t="n">
        <x:f>IFERROR(F32/J32,"")</x:f>
        <x:v>9017.747111681643</x:v>
      </x:c>
      <x:c r="L32" s="59" t="n">
        <x:v>46.08</x:v>
      </x:c>
      <x:c r="M32" s="57" t="n">
        <x:f>IFERROR(F32/(L32/3.3),"")</x:f>
        <x:v>6087.239583333333</x:v>
      </x:c>
      <x:c r="N32" s="55" t="str">
        <x:v>-1</x:v>
      </x:c>
      <x:c r="O32" s="57" t="n">
        <x:v>27400</x:v>
      </x:c>
      <x:c r="P32" s="60" t="n">
        <x:f>IFERROR(F32/O32-1,"")</x:f>
        <x:v>2.102189781021898</x:v>
      </x:c>
      <x:c r="Q32" s="55" t="n">
        <x:v>1993</x:v>
      </x:c>
      <x:c r="R32" s="55" t="str">
        <x:v>지하</x:v>
      </x:c>
      <x:c r="S32" s="55" t="str">
        <x:v>중개거래</x:v>
      </x:c>
      <x:c r="T32" s="55" t="str">
        <x:v>서울 용산구</x:v>
      </x:c>
      <x:c r="U32" s="55" t="n">
        <x:v>24959355</x:v>
      </x:c>
      <x:c r="V32" s="55" t="str">
        <x:v>활성</x:v>
      </x:c>
    </x:row>
    <x:row r="33">
      <x:c r="A33" s="55" t="n">
        <x:v>29</x:v>
      </x:c>
      <x:c r="B33" s="56" t="n">
        <x:v>46126</x:v>
      </x:c>
      <x:c r="C33" s="61" t="str">
        <x:v>서계동 246-38</x:v>
      </x:c>
      <x:c r="D33" s="61" t="str">
        <x:v>(246-38)</x:v>
      </x:c>
      <x:c r="E33" s="55" t="str">
        <x:v>다세대주택</x:v>
      </x:c>
      <x:c r="F33" s="57" t="n">
        <x:v>63000</x:v>
      </x:c>
      <x:c r="G33" s="58" t="n">
        <x:f>IFERROR(F33/10000,"")</x:f>
        <x:v>6.3</x:v>
      </x:c>
      <x:c r="H33" s="55" t="str">
        <x:v>다세대</x:v>
      </x:c>
      <x:c r="I33" s="59" t="n">
        <x:v>11.5</x:v>
      </x:c>
      <x:c r="J33" s="59" t="n">
        <x:f>IFERROR(I33/3.3058,"")</x:f>
        <x:v>3.4787343456954445</x:v>
      </x:c>
      <x:c r="K33" s="57" t="n">
        <x:f>IFERROR(F33/J33,"")</x:f>
        <x:v>18110.034782608695</x:v>
      </x:c>
      <x:c r="L33" s="59" t="n">
        <x:v>32.82</x:v>
      </x:c>
      <x:c r="M33" s="57" t="n">
        <x:f>IFERROR(F33/(L33/3.3),"")</x:f>
        <x:v>6334.5521023766</x:v>
      </x:c>
      <x:c r="N33" s="55" t="str">
        <x:v>3</x:v>
      </x:c>
      <x:c r="O33" s="57" t="n">
        <x:v>20100</x:v>
      </x:c>
      <x:c r="P33" s="60" t="n">
        <x:f>IFERROR(F33/O33-1,"")</x:f>
        <x:v>2.1343283582089554</x:v>
      </x:c>
      <x:c r="Q33" s="55" t="n">
        <x:v>1998</x:v>
      </x:c>
      <x:c r="R33" s="55" t="str">
        <x:v>비지하</x:v>
      </x:c>
      <x:c r="S33" s="55" t="str">
        <x:v>중개거래</x:v>
      </x:c>
      <x:c r="T33" s="55" t="str">
        <x:v>서울 용산구</x:v>
      </x:c>
      <x:c r="U33" s="55" t="n">
        <x:v>24959370</x:v>
      </x:c>
      <x:c r="V33" s="55" t="str">
        <x:v>활성</x:v>
      </x:c>
    </x:row>
    <x:row r="34">
      <x:c r="A34" s="55" t="n">
        <x:v>30</x:v>
      </x:c>
      <x:c r="B34" s="56" t="n">
        <x:v>46121</x:v>
      </x:c>
      <x:c r="C34" s="61" t="str">
        <x:v>서계동 246-42</x:v>
      </x:c>
      <x:c r="D34" s="61" t="str">
        <x:v>청운빌라</x:v>
      </x:c>
      <x:c r="E34" s="55" t="str">
        <x:v>다세대주택</x:v>
      </x:c>
      <x:c r="F34" s="57" t="n">
        <x:v>100000</x:v>
      </x:c>
      <x:c r="G34" s="58" t="n">
        <x:f>IFERROR(F34/10000,"")</x:f>
        <x:v>10</x:v>
      </x:c>
      <x:c r="H34" s="55" t="str">
        <x:v>다세대</x:v>
      </x:c>
      <x:c r="I34" s="59" t="n">
        <x:v>18.45</x:v>
      </x:c>
      <x:c r="J34" s="59" t="n">
        <x:f>IFERROR(I34/3.3058,"")</x:f>
        <x:v>5.581099885050517</x:v>
      </x:c>
      <x:c r="K34" s="57" t="n">
        <x:f>IFERROR(F34/J34,"")</x:f>
        <x:v>17917.61517615176</x:v>
      </x:c>
      <x:c r="L34" s="59" t="n">
        <x:v>57.02</x:v>
      </x:c>
      <x:c r="M34" s="57" t="n">
        <x:f>IFERROR(F34/(L34/3.3),"")</x:f>
        <x:v>5787.4430024552785</x:v>
      </x:c>
      <x:c r="N34" s="55" t="str">
        <x:v>3</x:v>
      </x:c>
      <x:c r="O34" s="57" t="n">
        <x:v>34400</x:v>
      </x:c>
      <x:c r="P34" s="60" t="n">
        <x:f>IFERROR(F34/O34-1,"")</x:f>
        <x:v>1.9069767441860463</x:v>
      </x:c>
      <x:c r="Q34" s="55" t="n">
        <x:v>2001</x:v>
      </x:c>
      <x:c r="R34" s="55" t="str">
        <x:v>비지하</x:v>
      </x:c>
      <x:c r="S34" s="55" t="str">
        <x:v>중개거래</x:v>
      </x:c>
      <x:c r="T34" s="55" t="str">
        <x:v>서울 용산구</x:v>
      </x:c>
      <x:c r="U34" s="55" t="n">
        <x:v>24959363</x:v>
      </x:c>
      <x:c r="V34" s="55" t="str">
        <x:v>활성</x:v>
      </x:c>
    </x:row>
    <x:row r="35">
      <x:c r="A35" s="55" t="n">
        <x:v>31</x:v>
      </x:c>
      <x:c r="B35" s="56" t="n">
        <x:v>46120</x:v>
      </x:c>
      <x:c r="C35" s="61" t="str">
        <x:v>서계동 246-38</x:v>
      </x:c>
      <x:c r="D35" s="61" t="str">
        <x:v>(246-38)</x:v>
      </x:c>
      <x:c r="E35" s="55" t="str">
        <x:v>다세대주택</x:v>
      </x:c>
      <x:c r="F35" s="57" t="n">
        <x:v>65000</x:v>
      </x:c>
      <x:c r="G35" s="58" t="n">
        <x:f>IFERROR(F35/10000,"")</x:f>
        <x:v>6.5</x:v>
      </x:c>
      <x:c r="H35" s="55" t="str">
        <x:v>다세대</x:v>
      </x:c>
      <x:c r="I35" s="59" t="n">
        <x:v>12.1</x:v>
      </x:c>
      <x:c r="J35" s="59" t="n">
        <x:f>IFERROR(I35/3.3058,"")</x:f>
        <x:v>3.6602335289491195</x:v>
      </x:c>
      <x:c r="K35" s="57" t="n">
        <x:f>IFERROR(F35/J35,"")</x:f>
        <x:v>17758.429752066117</x:v>
      </x:c>
      <x:c r="L35" s="59" t="n">
        <x:v>34.5</x:v>
      </x:c>
      <x:c r="M35" s="57" t="n">
        <x:f>IFERROR(F35/(L35/3.3),"")</x:f>
        <x:v>6217.391304347826</x:v>
      </x:c>
      <x:c r="N35" s="55" t="str">
        <x:v>1</x:v>
      </x:c>
      <x:c r="O35" s="57" t="n">
        <x:v>21200</x:v>
      </x:c>
      <x:c r="P35" s="60" t="n">
        <x:f>IFERROR(F35/O35-1,"")</x:f>
        <x:v>2.0660377358490565</x:v>
      </x:c>
      <x:c r="Q35" s="55" t="n">
        <x:v>1998</x:v>
      </x:c>
      <x:c r="R35" s="55" t="str">
        <x:v>비지하</x:v>
      </x:c>
      <x:c r="S35" s="55" t="str">
        <x:v>중개거래</x:v>
      </x:c>
      <x:c r="T35" s="55" t="str">
        <x:v>서울 용산구</x:v>
      </x:c>
      <x:c r="U35" s="55" t="n">
        <x:v>24959380</x:v>
      </x:c>
      <x:c r="V35" s="55" t="str">
        <x:v>활성</x:v>
      </x:c>
    </x:row>
    <x:row r="36">
      <x:c r="A36" s="55" t="n">
        <x:v>32</x:v>
      </x:c>
      <x:c r="B36" s="56" t="n">
        <x:v>46119</x:v>
      </x:c>
      <x:c r="C36" s="61" t="str">
        <x:v>서계동 256-6</x:v>
      </x:c>
      <x:c r="D36" s="61" t="str"/>
      <x:c r="E36" s="55" t="str">
        <x:v>단독주택</x:v>
      </x:c>
      <x:c r="F36" s="57" t="n">
        <x:v>78500</x:v>
      </x:c>
      <x:c r="G36" s="58" t="n">
        <x:f>IFERROR(F36/10000,"")</x:f>
        <x:v>7.85</x:v>
      </x:c>
      <x:c r="H36" s="55" t="str">
        <x:v>단독</x:v>
      </x:c>
      <x:c r="I36" s="59" t="n">
        <x:v>39.3</x:v>
      </x:c>
      <x:c r="J36" s="59" t="n">
        <x:f>IFERROR(I36/3.3058,"")</x:f>
        <x:v>11.888196503115735</x:v>
      </x:c>
      <x:c r="K36" s="57" t="n">
        <x:f>IFERROR(F36/J36,"")</x:f>
        <x:v>6603.188295165395</x:v>
      </x:c>
      <x:c r="L36" s="59" t="n">
        <x:v>16.53</x:v>
      </x:c>
      <x:c r="M36" s="57" t="n">
        <x:f>IFERROR(F36/(L36/3.3),"")</x:f>
        <x:v>15671.506352087112</x:v>
      </x:c>
      <x:c r="N36" s="55" t="str"/>
      <x:c r="O36" s="57" t="n">
        <x:v>18600</x:v>
      </x:c>
      <x:c r="P36" s="60" t="n">
        <x:f>IFERROR(F36/O36-1,"")</x:f>
        <x:v>3.220430107526882</x:v>
      </x:c>
      <x:c r="Q36" s="55" t="n">
        <x:v>1941</x:v>
      </x:c>
      <x:c r="R36" s="55" t="str"/>
      <x:c r="S36" s="55" t="str">
        <x:v>중개거래</x:v>
      </x:c>
      <x:c r="T36" s="55" t="str">
        <x:v>서울 용산구</x:v>
      </x:c>
      <x:c r="U36" s="55" t="n">
        <x:v>24966458</x:v>
      </x:c>
      <x:c r="V36" s="55" t="str">
        <x:v>활성</x:v>
      </x:c>
    </x:row>
    <x:row r="37">
      <x:c r="A37" s="55" t="n">
        <x:v>33</x:v>
      </x:c>
      <x:c r="B37" s="56" t="n">
        <x:v>46115</x:v>
      </x:c>
      <x:c r="C37" s="61" t="str">
        <x:v>서계동 246-24</x:v>
      </x:c>
      <x:c r="D37" s="61" t="str">
        <x:v>(246-24)</x:v>
      </x:c>
      <x:c r="E37" s="55" t="str">
        <x:v>다세대주택</x:v>
      </x:c>
      <x:c r="F37" s="57" t="n">
        <x:v>93000</x:v>
      </x:c>
      <x:c r="G37" s="58" t="n">
        <x:f>IFERROR(F37/10000,"")</x:f>
        <x:v>9.3</x:v>
      </x:c>
      <x:c r="H37" s="55" t="str">
        <x:v>다세대</x:v>
      </x:c>
      <x:c r="I37" s="59" t="n">
        <x:v>18.8</x:v>
      </x:c>
      <x:c r="J37" s="59" t="n">
        <x:f>IFERROR(I37/3.3058,"")</x:f>
        <x:v>5.6869744086151615</x:v>
      </x:c>
      <x:c r="K37" s="57" t="n">
        <x:f>IFERROR(F37/J37,"")</x:f>
        <x:v>16353.159574468085</x:v>
      </x:c>
      <x:c r="L37" s="59" t="n">
        <x:v>47.14</x:v>
      </x:c>
      <x:c r="M37" s="57" t="n">
        <x:f>IFERROR(F37/(L37/3.3),"")</x:f>
        <x:v>6510.394569367841</x:v>
      </x:c>
      <x:c r="N37" s="55" t="str">
        <x:v>1</x:v>
      </x:c>
      <x:c r="O37" s="57" t="n">
        <x:v>30200</x:v>
      </x:c>
      <x:c r="P37" s="60" t="n">
        <x:f>IFERROR(F37/O37-1,"")</x:f>
        <x:v>2.0794701986754967</x:v>
      </x:c>
      <x:c r="Q37" s="55" t="n">
        <x:v>1997</x:v>
      </x:c>
      <x:c r="R37" s="55" t="str">
        <x:v>비지하</x:v>
      </x:c>
      <x:c r="S37" s="55" t="str">
        <x:v>중개거래</x:v>
      </x:c>
      <x:c r="T37" s="55" t="str">
        <x:v>서울 용산구, 서울 중구</x:v>
      </x:c>
      <x:c r="U37" s="55" t="n">
        <x:v>24959373</x:v>
      </x:c>
      <x:c r="V37" s="55" t="str">
        <x:v>활성</x:v>
      </x:c>
    </x:row>
    <x:row r="38">
      <x:c r="A38" s="55" t="n">
        <x:v>34</x:v>
      </x:c>
      <x:c r="B38" s="56" t="n">
        <x:v>46108</x:v>
      </x:c>
      <x:c r="C38" s="61" t="str">
        <x:v>청파동1가 1-95</x:v>
      </x:c>
      <x:c r="D38" s="61" t="str">
        <x:v>대성빌라2차</x:v>
      </x:c>
      <x:c r="E38" s="55" t="str">
        <x:v>다세대주택</x:v>
      </x:c>
      <x:c r="F38" s="57" t="n">
        <x:v>88000</x:v>
      </x:c>
      <x:c r="G38" s="58" t="n">
        <x:f>IFERROR(F38/10000,"")</x:f>
        <x:v>8.8</x:v>
      </x:c>
      <x:c r="H38" s="55" t="str">
        <x:v>연립</x:v>
      </x:c>
      <x:c r="I38" s="59" t="n">
        <x:v>31.67</x:v>
      </x:c>
      <x:c r="J38" s="59" t="n">
        <x:f>IFERROR(I38/3.3058,"")</x:f>
        <x:v>9.580131889406498</x:v>
      </x:c>
      <x:c r="K38" s="57" t="n">
        <x:f>IFERROR(F38/J38,"")</x:f>
        <x:v>9185.677297126618</x:v>
      </x:c>
      <x:c r="L38" s="59" t="n">
        <x:v>75.72</x:v>
      </x:c>
      <x:c r="M38" s="57" t="n">
        <x:f>IFERROR(F38/(L38/3.3),"")</x:f>
        <x:v>3835.1822503961967</x:v>
      </x:c>
      <x:c r="N38" s="55" t="str">
        <x:v>3</x:v>
      </x:c>
      <x:c r="O38" s="57" t="n">
        <x:v>36300</x:v>
      </x:c>
      <x:c r="P38" s="60" t="n">
        <x:f>IFERROR(F38/O38-1,"")</x:f>
        <x:v>1.4242424242424243</x:v>
      </x:c>
      <x:c r="Q38" s="55" t="n">
        <x:v>1995</x:v>
      </x:c>
      <x:c r="R38" s="55" t="str">
        <x:v>비지하</x:v>
      </x:c>
      <x:c r="S38" s="55" t="str">
        <x:v>중개거래</x:v>
      </x:c>
      <x:c r="T38" s="55" t="str">
        <x:v>서울 용산구</x:v>
      </x:c>
      <x:c r="U38" s="55" t="n">
        <x:v>25444612</x:v>
      </x:c>
      <x:c r="V38" s="55" t="str">
        <x:v>활성</x:v>
      </x:c>
    </x:row>
    <x:row r="39">
      <x:c r="A39" s="55" t="n">
        <x:v>35</x:v>
      </x:c>
      <x:c r="B39" s="56" t="n">
        <x:v>46102</x:v>
      </x:c>
      <x:c r="C39" s="61" t="str">
        <x:v>서계동 257-4</x:v>
      </x:c>
      <x:c r="D39" s="61" t="str">
        <x:v>(257-4)</x:v>
      </x:c>
      <x:c r="E39" s="55" t="str">
        <x:v>다세대주택</x:v>
      </x:c>
      <x:c r="F39" s="57" t="n">
        <x:v>69000</x:v>
      </x:c>
      <x:c r="G39" s="58" t="n">
        <x:f>IFERROR(F39/10000,"")</x:f>
        <x:v>6.9</x:v>
      </x:c>
      <x:c r="H39" s="55" t="str">
        <x:v>다세대</x:v>
      </x:c>
      <x:c r="I39" s="59" t="n">
        <x:v>11.98</x:v>
      </x:c>
      <x:c r="J39" s="59" t="n">
        <x:f>IFERROR(I39/3.3058,"")</x:f>
        <x:v>3.623933692298385</x:v>
      </x:c>
      <x:c r="K39" s="57" t="n">
        <x:f>IFERROR(F39/J39,"")</x:f>
        <x:v>19040.083472454087</x:v>
      </x:c>
      <x:c r="L39" s="59" t="n">
        <x:v>35.3</x:v>
      </x:c>
      <x:c r="M39" s="57" t="n">
        <x:f>IFERROR(F39/(L39/3.3),"")</x:f>
        <x:v>6450.42492917847</x:v>
      </x:c>
      <x:c r="N39" s="55" t="str">
        <x:v>2</x:v>
      </x:c>
      <x:c r="O39" s="57" t="n">
        <x:v>19900</x:v>
      </x:c>
      <x:c r="P39" s="60" t="n">
        <x:f>IFERROR(F39/O39-1,"")</x:f>
        <x:v>2.4673366834170856</x:v>
      </x:c>
      <x:c r="Q39" s="55" t="n">
        <x:v>1998</x:v>
      </x:c>
      <x:c r="R39" s="55" t="str">
        <x:v>비지하</x:v>
      </x:c>
      <x:c r="S39" s="55" t="str">
        <x:v>중개거래</x:v>
      </x:c>
      <x:c r="T39" s="55" t="str">
        <x:v>서울 용산구</x:v>
      </x:c>
      <x:c r="U39" s="55" t="n">
        <x:v>25444585</x:v>
      </x:c>
      <x:c r="V39" s="55" t="str">
        <x:v>활성</x:v>
      </x:c>
    </x:row>
    <x:row r="40">
      <x:c r="A40" s="55" t="n">
        <x:v>36</x:v>
      </x:c>
      <x:c r="B40" s="56" t="n">
        <x:v>46101</x:v>
      </x:c>
      <x:c r="C40" s="61" t="str">
        <x:v>서계동 246-7</x:v>
      </x:c>
      <x:c r="D40" s="61" t="str">
        <x:v>(246-7)</x:v>
      </x:c>
      <x:c r="E40" s="55" t="str">
        <x:v>다세대주택</x:v>
      </x:c>
      <x:c r="F40" s="57" t="n">
        <x:v>110000</x:v>
      </x:c>
      <x:c r="G40" s="58" t="n">
        <x:f>IFERROR(F40/10000,"")</x:f>
        <x:v>11</x:v>
      </x:c>
      <x:c r="H40" s="55" t="str">
        <x:v>다세대</x:v>
      </x:c>
      <x:c r="I40" s="59" t="n">
        <x:v>22.36</x:v>
      </x:c>
      <x:c r="J40" s="59" t="n">
        <x:f>IFERROR(I40/3.3058,"")</x:f>
        <x:v>6.763869562586968</x:v>
      </x:c>
      <x:c r="K40" s="57" t="n">
        <x:f>IFERROR(F40/J40,"")</x:f>
        <x:v>16262.880143112703</x:v>
      </x:c>
      <x:c r="L40" s="59" t="n">
        <x:v>57.24</x:v>
      </x:c>
      <x:c r="M40" s="57" t="n">
        <x:f>IFERROR(F40/(L40/3.3),"")</x:f>
        <x:v>6341.719077568134</x:v>
      </x:c>
      <x:c r="N40" s="55" t="str">
        <x:v>2</x:v>
      </x:c>
      <x:c r="O40" s="57" t="n">
        <x:v>31900</x:v>
      </x:c>
      <x:c r="P40" s="60" t="n">
        <x:f>IFERROR(F40/O40-1,"")</x:f>
        <x:v>2.4482758620689653</x:v>
      </x:c>
      <x:c r="Q40" s="55" t="n">
        <x:v>1997</x:v>
      </x:c>
      <x:c r="R40" s="55" t="str">
        <x:v>비지하</x:v>
      </x:c>
      <x:c r="S40" s="55" t="str">
        <x:v>중개거래</x:v>
      </x:c>
      <x:c r="T40" s="55" t="str">
        <x:v>서울 용산구</x:v>
      </x:c>
      <x:c r="U40" s="55" t="n">
        <x:v>25444627</x:v>
      </x:c>
      <x:c r="V40" s="55" t="str">
        <x:v>활성</x:v>
      </x:c>
    </x:row>
    <x:row r="41">
      <x:c r="A41" s="55" t="n">
        <x:v>37</x:v>
      </x:c>
      <x:c r="B41" s="56" t="n">
        <x:v>46098</x:v>
      </x:c>
      <x:c r="C41" s="61" t="str">
        <x:v>서계동 261-5</x:v>
      </x:c>
      <x:c r="D41" s="61" t="str">
        <x:v>(261-5)</x:v>
      </x:c>
      <x:c r="E41" s="55" t="str">
        <x:v>다세대주택</x:v>
      </x:c>
      <x:c r="F41" s="57" t="n">
        <x:v>90000</x:v>
      </x:c>
      <x:c r="G41" s="58" t="n">
        <x:f>IFERROR(F41/10000,"")</x:f>
        <x:v>9</x:v>
      </x:c>
      <x:c r="H41" s="55" t="str">
        <x:v>다세대</x:v>
      </x:c>
      <x:c r="I41" s="59" t="n">
        <x:v>26.448</x:v>
      </x:c>
      <x:c r="J41" s="59" t="n">
        <x:f>IFERROR(I41/3.3058,"")</x:f>
        <x:v>8.000483997822009</x:v>
      </x:c>
      <x:c r="K41" s="57" t="n">
        <x:f>IFERROR(F41/J41,"")</x:f>
        <x:v>11249.31941923775</x:v>
      </x:c>
      <x:c r="L41" s="59" t="n">
        <x:v>57.71</x:v>
      </x:c>
      <x:c r="M41" s="57" t="n">
        <x:f>IFERROR(F41/(L41/3.3),"")</x:f>
        <x:v>5146.421763992375</x:v>
      </x:c>
      <x:c r="N41" s="55" t="str">
        <x:v>-1</x:v>
      </x:c>
      <x:c r="O41" s="57" t="n">
        <x:v>36400</x:v>
      </x:c>
      <x:c r="P41" s="60" t="n">
        <x:f>IFERROR(F41/O41-1,"")</x:f>
        <x:v>1.4725274725274726</x:v>
      </x:c>
      <x:c r="Q41" s="55" t="n">
        <x:v>2008</x:v>
      </x:c>
      <x:c r="R41" s="55" t="str">
        <x:v>지하</x:v>
      </x:c>
      <x:c r="S41" s="55" t="str">
        <x:v>중개거래</x:v>
      </x:c>
      <x:c r="T41" s="55" t="str">
        <x:v>서울 용산구</x:v>
      </x:c>
      <x:c r="U41" s="55" t="n">
        <x:v>25444593</x:v>
      </x:c>
      <x:c r="V41" s="55" t="str">
        <x:v>활성</x:v>
      </x:c>
    </x:row>
    <x:row r="42">
      <x:c r="A42" s="55" t="n">
        <x:v>38</x:v>
      </x:c>
      <x:c r="B42" s="56" t="n">
        <x:v>46095</x:v>
      </x:c>
      <x:c r="C42" s="61" t="str">
        <x:v>서계동 251-1</x:v>
      </x:c>
      <x:c r="D42" s="61" t="str">
        <x:v>(251-1)</x:v>
      </x:c>
      <x:c r="E42" s="55" t="str">
        <x:v>다세대주택</x:v>
      </x:c>
      <x:c r="F42" s="57" t="n">
        <x:v>96700</x:v>
      </x:c>
      <x:c r="G42" s="58" t="n">
        <x:f>IFERROR(F42/10000,"")</x:f>
        <x:v>9.67</x:v>
      </x:c>
      <x:c r="H42" s="55" t="str">
        <x:v>다세대</x:v>
      </x:c>
      <x:c r="I42" s="59" t="n">
        <x:v>22.62</x:v>
      </x:c>
      <x:c r="J42" s="59" t="n">
        <x:f>IFERROR(I42/3.3058,"")</x:f>
        <x:v>6.842519208663561</x:v>
      </x:c>
      <x:c r="K42" s="57" t="n">
        <x:f>IFERROR(F42/J42,"")</x:f>
        <x:v>14132.221927497789</x:v>
      </x:c>
      <x:c r="L42" s="59" t="n">
        <x:v>55.14</x:v>
      </x:c>
      <x:c r="M42" s="57" t="n">
        <x:f>IFERROR(F42/(L42/3.3),"")</x:f>
        <x:v>5787.268770402611</x:v>
      </x:c>
      <x:c r="N42" s="55" t="str">
        <x:v>2</x:v>
      </x:c>
      <x:c r="O42" s="57" t="n">
        <x:v>36400</x:v>
      </x:c>
      <x:c r="P42" s="60" t="n">
        <x:f>IFERROR(F42/O42-1,"")</x:f>
        <x:v>1.6565934065934065</x:v>
      </x:c>
      <x:c r="Q42" s="55" t="n">
        <x:v>1996</x:v>
      </x:c>
      <x:c r="R42" s="55" t="str">
        <x:v>비지하</x:v>
      </x:c>
      <x:c r="S42" s="55" t="str">
        <x:v>중개거래</x:v>
      </x:c>
      <x:c r="T42" s="55" t="str">
        <x:v>서울 용산구</x:v>
      </x:c>
      <x:c r="U42" s="55" t="n">
        <x:v>25444589</x:v>
      </x:c>
      <x:c r="V42" s="55" t="str">
        <x:v>활성</x:v>
      </x:c>
    </x:row>
    <x:row r="43">
      <x:c r="A43" s="55" t="n">
        <x:v>39</x:v>
      </x:c>
      <x:c r="B43" s="56" t="n">
        <x:v>46094</x:v>
      </x:c>
      <x:c r="C43" s="61" t="str">
        <x:v>서계동 251-12</x:v>
      </x:c>
      <x:c r="D43" s="61" t="str">
        <x:v>(251-12)</x:v>
      </x:c>
      <x:c r="E43" s="55" t="str">
        <x:v>다세대주택</x:v>
      </x:c>
      <x:c r="F43" s="57" t="n">
        <x:v>60000</x:v>
      </x:c>
      <x:c r="G43" s="58" t="n">
        <x:f>IFERROR(F43/10000,"")</x:f>
        <x:v>6</x:v>
      </x:c>
      <x:c r="H43" s="55" t="str">
        <x:v>다세대</x:v>
      </x:c>
      <x:c r="I43" s="59" t="n">
        <x:v>9.98</x:v>
      </x:c>
      <x:c r="J43" s="59" t="n">
        <x:f>IFERROR(I43/3.3058,"")</x:f>
        <x:v>3.0189364147861335</x:v>
      </x:c>
      <x:c r="K43" s="57" t="n">
        <x:f>IFERROR(F43/J43,"")</x:f>
        <x:v>19874.549098196392</x:v>
      </x:c>
      <x:c r="L43" s="59" t="n">
        <x:v>25.03</x:v>
      </x:c>
      <x:c r="M43" s="57" t="n">
        <x:f>IFERROR(F43/(L43/3.3),"")</x:f>
        <x:v>7910.507391130643</x:v>
      </x:c>
      <x:c r="N43" s="55" t="str">
        <x:v>2</x:v>
      </x:c>
      <x:c r="O43" s="57" t="n">
        <x:v>17300</x:v>
      </x:c>
      <x:c r="P43" s="60" t="n">
        <x:f>IFERROR(F43/O43-1,"")</x:f>
        <x:v>2.468208092485549</x:v>
      </x:c>
      <x:c r="Q43" s="55" t="n">
        <x:v>1996</x:v>
      </x:c>
      <x:c r="R43" s="55" t="str">
        <x:v>비지하</x:v>
      </x:c>
      <x:c r="S43" s="55" t="str">
        <x:v>중개거래</x:v>
      </x:c>
      <x:c r="T43" s="55" t="str">
        <x:v>서울 용산구, 서울 중구</x:v>
      </x:c>
      <x:c r="U43" s="55" t="n">
        <x:v>25444628</x:v>
      </x:c>
      <x:c r="V43" s="55" t="str">
        <x:v>활성</x:v>
      </x:c>
    </x:row>
    <x:row r="44">
      <x:c r="A44" s="55" t="n">
        <x:v>40</x:v>
      </x:c>
      <x:c r="B44" s="56" t="n">
        <x:v>46080</x:v>
      </x:c>
      <x:c r="C44" s="61" t="str">
        <x:v>서계동 254-2</x:v>
      </x:c>
      <x:c r="D44" s="61" t="str">
        <x:v>(254-2)</x:v>
      </x:c>
      <x:c r="E44" s="55" t="str">
        <x:v>다세대주택</x:v>
      </x:c>
      <x:c r="F44" s="57" t="n">
        <x:v>62000</x:v>
      </x:c>
      <x:c r="G44" s="58" t="n">
        <x:f>IFERROR(F44/10000,"")</x:f>
        <x:v>6.2</x:v>
      </x:c>
      <x:c r="H44" s="55" t="str">
        <x:v>다세대</x:v>
      </x:c>
      <x:c r="I44" s="59" t="n">
        <x:v>11.48</x:v>
      </x:c>
      <x:c r="J44" s="59" t="n">
        <x:f>IFERROR(I44/3.3058,"")</x:f>
        <x:v>3.472684372920322</x:v>
      </x:c>
      <x:c r="K44" s="57" t="n">
        <x:f>IFERROR(F44/J44,"")</x:f>
        <x:v>17853.62369337979</x:v>
      </x:c>
      <x:c r="L44" s="59" t="n">
        <x:v>31.79</x:v>
      </x:c>
      <x:c r="M44" s="57" t="n">
        <x:f>IFERROR(F44/(L44/3.3),"")</x:f>
        <x:v>6435.986159169551</x:v>
      </x:c>
      <x:c r="N44" s="55" t="str">
        <x:v>3</x:v>
      </x:c>
      <x:c r="O44" s="57" t="n">
        <x:v>21600</x:v>
      </x:c>
      <x:c r="P44" s="60" t="n">
        <x:f>IFERROR(F44/O44-1,"")</x:f>
        <x:v>1.8703703703703702</x:v>
      </x:c>
      <x:c r="Q44" s="55" t="n">
        <x:v>1998</x:v>
      </x:c>
      <x:c r="R44" s="55" t="str">
        <x:v>비지하</x:v>
      </x:c>
      <x:c r="S44" s="55" t="str">
        <x:v>중개거래</x:v>
      </x:c>
      <x:c r="T44" s="55" t="str">
        <x:v>서울 용산구, 서울 중구</x:v>
      </x:c>
      <x:c r="U44" s="55" t="n">
        <x:v>25527687</x:v>
      </x:c>
      <x:c r="V44" s="55" t="str">
        <x:v>활성</x:v>
      </x:c>
    </x:row>
    <x:row r="45">
      <x:c r="A45" s="55" t="n">
        <x:v>41</x:v>
      </x:c>
      <x:c r="B45" s="56" t="n">
        <x:v>46079</x:v>
      </x:c>
      <x:c r="C45" s="61" t="str">
        <x:v>서계동 252-56</x:v>
      </x:c>
      <x:c r="D45" s="61" t="str">
        <x:v>(252-56)</x:v>
      </x:c>
      <x:c r="E45" s="55" t="str">
        <x:v>다세대주택</x:v>
      </x:c>
      <x:c r="F45" s="57" t="n">
        <x:v>79000</x:v>
      </x:c>
      <x:c r="G45" s="58" t="n">
        <x:f>IFERROR(F45/10000,"")</x:f>
        <x:v>7.9</x:v>
      </x:c>
      <x:c r="H45" s="55" t="str">
        <x:v>다세대</x:v>
      </x:c>
      <x:c r="I45" s="59" t="n">
        <x:v>18.675</x:v>
      </x:c>
      <x:c r="J45" s="59" t="n">
        <x:f>IFERROR(I45/3.3058,"")</x:f>
        <x:v>5.649162078770646</x:v>
      </x:c>
      <x:c r="K45" s="57" t="n">
        <x:f>IFERROR(F45/J45,"")</x:f>
        <x:v>13984.374832663989</x:v>
      </x:c>
      <x:c r="L45" s="59" t="n">
        <x:v>36.34</x:v>
      </x:c>
      <x:c r="M45" s="57" t="n">
        <x:f>IFERROR(F45/(L45/3.3),"")</x:f>
        <x:v>7173.91304347826</x:v>
      </x:c>
      <x:c r="N45" s="55" t="str">
        <x:v>2</x:v>
      </x:c>
      <x:c r="O45" s="57" t="n">
        <x:v>27200</x:v>
      </x:c>
      <x:c r="P45" s="60" t="n">
        <x:f>IFERROR(F45/O45-1,"")</x:f>
        <x:v>1.9044117647058822</x:v>
      </x:c>
      <x:c r="Q45" s="55" t="n">
        <x:v>1996</x:v>
      </x:c>
      <x:c r="R45" s="55" t="str">
        <x:v>비지하</x:v>
      </x:c>
      <x:c r="S45" s="55" t="str">
        <x:v>중개거래</x:v>
      </x:c>
      <x:c r="T45" s="55" t="str">
        <x:v>서울 용산구</x:v>
      </x:c>
      <x:c r="U45" s="55" t="n">
        <x:v>25527696</x:v>
      </x:c>
      <x:c r="V45" s="55" t="str">
        <x:v>활성</x:v>
      </x:c>
    </x:row>
    <x:row r="46">
      <x:c r="A46" s="55" t="n">
        <x:v>42</x:v>
      </x:c>
      <x:c r="B46" s="56" t="n">
        <x:v>46077</x:v>
      </x:c>
      <x:c r="C46" s="61" t="str">
        <x:v>서계동 252-69</x:v>
      </x:c>
      <x:c r="D46" s="61" t="str">
        <x:v>(252-69)</x:v>
      </x:c>
      <x:c r="E46" s="55" t="str">
        <x:v>다세대주택</x:v>
      </x:c>
      <x:c r="F46" s="57" t="n">
        <x:v>69000</x:v>
      </x:c>
      <x:c r="G46" s="58" t="n">
        <x:f>IFERROR(F46/10000,"")</x:f>
        <x:v>6.9</x:v>
      </x:c>
      <x:c r="H46" s="55" t="str">
        <x:v>다세대</x:v>
      </x:c>
      <x:c r="I46" s="59" t="n">
        <x:v>12.3</x:v>
      </x:c>
      <x:c r="J46" s="59" t="n">
        <x:f>IFERROR(I46/3.3058,"")</x:f>
        <x:v>3.720733256700345</x:v>
      </x:c>
      <x:c r="K46" s="57" t="n">
        <x:f>IFERROR(F46/J46,"")</x:f>
        <x:v>18544.73170731707</x:v>
      </x:c>
      <x:c r="L46" s="59" t="n">
        <x:v>33.34</x:v>
      </x:c>
      <x:c r="M46" s="57" t="n">
        <x:f>IFERROR(F46/(L46/3.3),"")</x:f>
        <x:v>6829.634073185362</x:v>
      </x:c>
      <x:c r="N46" s="55" t="str">
        <x:v>3</x:v>
      </x:c>
      <x:c r="O46" s="57" t="n">
        <x:v>18700</x:v>
      </x:c>
      <x:c r="P46" s="60" t="n">
        <x:f>IFERROR(F46/O46-1,"")</x:f>
        <x:v>2.6898395721925135</x:v>
      </x:c>
      <x:c r="Q46" s="55" t="n">
        <x:v>1998</x:v>
      </x:c>
      <x:c r="R46" s="55" t="str">
        <x:v>비지하</x:v>
      </x:c>
      <x:c r="S46" s="55" t="str">
        <x:v>중개거래</x:v>
      </x:c>
      <x:c r="T46" s="55" t="str">
        <x:v>서울 용산구</x:v>
      </x:c>
      <x:c r="U46" s="55" t="n">
        <x:v>25527703</x:v>
      </x:c>
      <x:c r="V46" s="55" t="str">
        <x:v>활성</x:v>
      </x:c>
    </x:row>
    <x:row r="47">
      <x:c r="A47" s="55" t="n">
        <x:v>43</x:v>
      </x:c>
      <x:c r="B47" s="56" t="n">
        <x:v>46076</x:v>
      </x:c>
      <x:c r="C47" s="61" t="str">
        <x:v>서계동 258-10</x:v>
      </x:c>
      <x:c r="D47" s="61" t="str">
        <x:v>(258-10)</x:v>
      </x:c>
      <x:c r="E47" s="55" t="str">
        <x:v>다세대주택</x:v>
      </x:c>
      <x:c r="F47" s="57" t="n">
        <x:v>105000</x:v>
      </x:c>
      <x:c r="G47" s="58" t="n">
        <x:f>IFERROR(F47/10000,"")</x:f>
        <x:v>10.5</x:v>
      </x:c>
      <x:c r="H47" s="55" t="str">
        <x:v>다세대</x:v>
      </x:c>
      <x:c r="I47" s="59" t="n">
        <x:v>19.82</x:v>
      </x:c>
      <x:c r="J47" s="59" t="n">
        <x:f>IFERROR(I47/3.3058,"")</x:f>
        <x:v>5.995523020146409</x:v>
      </x:c>
      <x:c r="K47" s="57" t="n">
        <x:f>IFERROR(F47/J47,"")</x:f>
        <x:v>17513.067608476285</x:v>
      </x:c>
      <x:c r="L47" s="59" t="n">
        <x:v>50.55</x:v>
      </x:c>
      <x:c r="M47" s="57" t="n">
        <x:f>IFERROR(F47/(L47/3.3),"")</x:f>
        <x:v>6854.59940652819</x:v>
      </x:c>
      <x:c r="N47" s="55" t="str">
        <x:v>4</x:v>
      </x:c>
      <x:c r="O47" s="57" t="n">
        <x:v>33600</x:v>
      </x:c>
      <x:c r="P47" s="60" t="n">
        <x:f>IFERROR(F47/O47-1,"")</x:f>
        <x:v>2.125</x:v>
      </x:c>
      <x:c r="Q47" s="55" t="n">
        <x:v>1997</x:v>
      </x:c>
      <x:c r="R47" s="55" t="str">
        <x:v>비지하</x:v>
      </x:c>
      <x:c r="S47" s="55" t="str">
        <x:v>중개거래</x:v>
      </x:c>
      <x:c r="T47" s="55" t="str">
        <x:v>서울 용산구</x:v>
      </x:c>
      <x:c r="U47" s="55" t="n">
        <x:v>25527676</x:v>
      </x:c>
      <x:c r="V47" s="55" t="str">
        <x:v>활성</x:v>
      </x:c>
    </x:row>
    <x:row r="48">
      <x:c r="A48" s="55" t="n">
        <x:v>44</x:v>
      </x:c>
      <x:c r="B48" s="56" t="n">
        <x:v>46072</x:v>
      </x:c>
      <x:c r="C48" s="61" t="str">
        <x:v>청파동1가 1-80</x:v>
      </x:c>
      <x:c r="D48" s="61" t="str">
        <x:v>청파블루빌</x:v>
      </x:c>
      <x:c r="E48" s="55" t="str">
        <x:v>다세대주택</x:v>
      </x:c>
      <x:c r="F48" s="57" t="n">
        <x:v>115000</x:v>
      </x:c>
      <x:c r="G48" s="58" t="n">
        <x:f>IFERROR(F48/10000,"")</x:f>
        <x:v>11.5</x:v>
      </x:c>
      <x:c r="H48" s="55" t="str">
        <x:v>다세대</x:v>
      </x:c>
      <x:c r="I48" s="59" t="n">
        <x:v>31.39</x:v>
      </x:c>
      <x:c r="J48" s="59" t="n">
        <x:f>IFERROR(I48/3.3058,"")</x:f>
        <x:v>9.495432270554783</x:v>
      </x:c>
      <x:c r="K48" s="57" t="n">
        <x:f>IFERROR(F48/J48,"")</x:f>
        <x:v>12111.086333227142</x:v>
      </x:c>
      <x:c r="L48" s="59" t="n">
        <x:v>52.19</x:v>
      </x:c>
      <x:c r="M48" s="57" t="n">
        <x:f>IFERROR(F48/(L48/3.3),"")</x:f>
        <x:v>7271.507951714888</x:v>
      </x:c>
      <x:c r="N48" s="55" t="str">
        <x:v>3</x:v>
      </x:c>
      <x:c r="O48" s="57" t="n">
        <x:v>52100</x:v>
      </x:c>
      <x:c r="P48" s="60" t="n">
        <x:f>IFERROR(F48/O48-1,"")</x:f>
        <x:v>1.2072936660268714</x:v>
      </x:c>
      <x:c r="Q48" s="55" t="n">
        <x:v>2008</x:v>
      </x:c>
      <x:c r="R48" s="55" t="str">
        <x:v>비지하</x:v>
      </x:c>
      <x:c r="S48" s="55" t="str">
        <x:v>중개거래</x:v>
      </x:c>
      <x:c r="T48" s="55" t="str">
        <x:v>서울 용산구</x:v>
      </x:c>
      <x:c r="U48" s="55" t="n">
        <x:v>25527712</x:v>
      </x:c>
      <x:c r="V48" s="55" t="str">
        <x:v>활성</x:v>
      </x:c>
    </x:row>
    <x:row r="49">
      <x:c r="A49" s="55" t="n">
        <x:v>45</x:v>
      </x:c>
      <x:c r="B49" s="56" t="n">
        <x:v>46066</x:v>
      </x:c>
      <x:c r="C49" s="61" t="str">
        <x:v>서계동 33-164</x:v>
      </x:c>
      <x:c r="D49" s="61" t="str"/>
      <x:c r="E49" s="55" t="str">
        <x:v>단독주택</x:v>
      </x:c>
      <x:c r="F49" s="57" t="n">
        <x:v>115000</x:v>
      </x:c>
      <x:c r="G49" s="58" t="n">
        <x:f>IFERROR(F49/10000,"")</x:f>
        <x:v>11.5</x:v>
      </x:c>
      <x:c r="H49" s="55" t="str">
        <x:v>단독</x:v>
      </x:c>
      <x:c r="I49" s="59" t="n">
        <x:v>39.7</x:v>
      </x:c>
      <x:c r="J49" s="59" t="n">
        <x:f>IFERROR(I49/3.3058,"")</x:f>
        <x:v>12.009195958618188</x:v>
      </x:c>
      <x:c r="K49" s="57" t="n">
        <x:f>IFERROR(F49/J49,"")</x:f>
        <x:v>9575.994962216624</x:v>
      </x:c>
      <x:c r="L49" s="59" t="n">
        <x:v>19.83</x:v>
      </x:c>
      <x:c r="M49" s="57" t="n">
        <x:f>IFERROR(F49/(L49/3.3),"")</x:f>
        <x:v>19137.670196671712</x:v>
      </x:c>
      <x:c r="N49" s="55" t="str"/>
      <x:c r="O49" s="57" t="n">
        <x:v>22800</x:v>
      </x:c>
      <x:c r="P49" s="60" t="n">
        <x:f>IFERROR(F49/O49-1,"")</x:f>
        <x:v>4.043859649122807</x:v>
      </x:c>
      <x:c r="Q49" s="55" t="n">
        <x:v>1937</x:v>
      </x:c>
      <x:c r="R49" s="55" t="str"/>
      <x:c r="S49" s="55" t="str">
        <x:v>중개거래</x:v>
      </x:c>
      <x:c r="T49" s="55" t="str">
        <x:v>서울 용산구</x:v>
      </x:c>
      <x:c r="U49" s="55" t="n">
        <x:v>16040826</x:v>
      </x:c>
      <x:c r="V49" s="55" t="str">
        <x:v>활성</x:v>
      </x:c>
    </x:row>
    <x:row r="50">
      <x:c r="A50" s="55" t="n">
        <x:v>46</x:v>
      </x:c>
      <x:c r="B50" s="56" t="n">
        <x:v>46065</x:v>
      </x:c>
      <x:c r="C50" s="61" t="str">
        <x:v>서계동 33-50</x:v>
      </x:c>
      <x:c r="D50" s="61" t="str"/>
      <x:c r="E50" s="55" t="str">
        <x:v>단독주택</x:v>
      </x:c>
      <x:c r="F50" s="57" t="n">
        <x:v>99700</x:v>
      </x:c>
      <x:c r="G50" s="58" t="n">
        <x:f>IFERROR(F50/10000,"")</x:f>
        <x:v>9.97</x:v>
      </x:c>
      <x:c r="H50" s="55" t="str">
        <x:v>단독</x:v>
      </x:c>
      <x:c r="I50" s="59" t="n">
        <x:v>59.2</x:v>
      </x:c>
      <x:c r="J50" s="59" t="n">
        <x:f>IFERROR(I50/3.3058,"")</x:f>
        <x:v>17.907919414362635</x:v>
      </x:c>
      <x:c r="K50" s="57" t="n">
        <x:f>IFERROR(F50/J50,"")</x:f>
        <x:v>5567.369256756757</x:v>
      </x:c>
      <x:c r="L50" s="59" t="n">
        <x:v>63.34</x:v>
      </x:c>
      <x:c r="M50" s="57" t="n">
        <x:f>IFERROR(F50/(L50/3.3),"")</x:f>
        <x:v>5194.347963372276</x:v>
      </x:c>
      <x:c r="N50" s="55" t="str"/>
      <x:c r="O50" s="57" t="n">
        <x:v>31000</x:v>
      </x:c>
      <x:c r="P50" s="60" t="n">
        <x:f>IFERROR(F50/O50-1,"")</x:f>
        <x:v>2.2161290322580647</x:v>
      </x:c>
      <x:c r="Q50" s="55" t="n">
        <x:v>1937</x:v>
      </x:c>
      <x:c r="R50" s="55" t="str"/>
      <x:c r="S50" s="55" t="str">
        <x:v>중개거래</x:v>
      </x:c>
      <x:c r="T50" s="55" t="str">
        <x:v>서울 용산구</x:v>
      </x:c>
      <x:c r="U50" s="55" t="n">
        <x:v>16040831</x:v>
      </x:c>
      <x:c r="V50" s="55" t="str">
        <x:v>활성</x:v>
      </x:c>
    </x:row>
    <x:row r="51">
      <x:c r="A51" s="55" t="n">
        <x:v>47</x:v>
      </x:c>
      <x:c r="B51" s="56" t="n">
        <x:v>46064</x:v>
      </x:c>
      <x:c r="C51" s="61" t="str">
        <x:v>서계동 261-6</x:v>
      </x:c>
      <x:c r="D51" s="61" t="str">
        <x:v>하이츠빌라B동(261-6)</x:v>
      </x:c>
      <x:c r="E51" s="55" t="str">
        <x:v>다세대주택</x:v>
      </x:c>
      <x:c r="F51" s="57" t="n">
        <x:v>112000</x:v>
      </x:c>
      <x:c r="G51" s="58" t="n">
        <x:f>IFERROR(F51/10000,"")</x:f>
        <x:v>11.2</x:v>
      </x:c>
      <x:c r="H51" s="55" t="str">
        <x:v>다세대</x:v>
      </x:c>
      <x:c r="I51" s="59" t="n">
        <x:v>26.45</x:v>
      </x:c>
      <x:c r="J51" s="59" t="n">
        <x:f>IFERROR(I51/3.3058,"")</x:f>
        <x:v>8.001088995099522</x:v>
      </x:c>
      <x:c r="K51" s="57" t="n">
        <x:f>IFERROR(F51/J51,"")</x:f>
        <x:v>13998.094517958412</x:v>
      </x:c>
      <x:c r="L51" s="59" t="n">
        <x:v>50.32</x:v>
      </x:c>
      <x:c r="M51" s="57" t="n">
        <x:f>IFERROR(F51/(L51/3.3),"")</x:f>
        <x:v>7344.9920508744035</x:v>
      </x:c>
      <x:c r="N51" s="55" t="str">
        <x:v>2</x:v>
      </x:c>
      <x:c r="O51" s="57" t="n">
        <x:v>46100</x:v>
      </x:c>
      <x:c r="P51" s="60" t="n">
        <x:f>IFERROR(F51/O51-1,"")</x:f>
        <x:v>1.4295010845986984</x:v>
      </x:c>
      <x:c r="Q51" s="55" t="n">
        <x:v>2009</x:v>
      </x:c>
      <x:c r="R51" s="55" t="str">
        <x:v>비지하</x:v>
      </x:c>
      <x:c r="S51" s="55" t="str">
        <x:v>중개거래</x:v>
      </x:c>
      <x:c r="T51" s="55" t="str">
        <x:v>서울 용산구</x:v>
      </x:c>
      <x:c r="U51" s="55" t="n">
        <x:v>25527692</x:v>
      </x:c>
      <x:c r="V51" s="55" t="str">
        <x:v>활성</x:v>
      </x:c>
    </x:row>
    <x:row r="52">
      <x:c r="A52" s="55" t="n">
        <x:v>48</x:v>
      </x:c>
      <x:c r="B52" s="56" t="n">
        <x:v>46057</x:v>
      </x:c>
      <x:c r="C52" s="61" t="str">
        <x:v>서계동 251-66</x:v>
      </x:c>
      <x:c r="D52" s="61" t="str"/>
      <x:c r="E52" s="55" t="str">
        <x:v>단독주택</x:v>
      </x:c>
      <x:c r="F52" s="57" t="n">
        <x:v>126000</x:v>
      </x:c>
      <x:c r="G52" s="58" t="n">
        <x:f>IFERROR(F52/10000,"")</x:f>
        <x:v>12.6</x:v>
      </x:c>
      <x:c r="H52" s="55" t="str">
        <x:v>다가구</x:v>
      </x:c>
      <x:c r="I52" s="59" t="n">
        <x:v>69.5</x:v>
      </x:c>
      <x:c r="J52" s="59" t="n">
        <x:f>IFERROR(I52/3.3058,"")</x:f>
        <x:v>21.02365539355073</x:v>
      </x:c>
      <x:c r="K52" s="57" t="n">
        <x:f>IFERROR(F52/J52,"")</x:f>
        <x:v>5993.24892086331</x:v>
      </x:c>
      <x:c r="L52" s="59" t="n">
        <x:v>109.08</x:v>
      </x:c>
      <x:c r="M52" s="57" t="n">
        <x:f>IFERROR(F52/(L52/3.3),"")</x:f>
        <x:v>3811.8811881188117</x:v>
      </x:c>
      <x:c r="N52" s="55" t="str"/>
      <x:c r="O52" s="57" t="n">
        <x:v>37500</x:v>
      </x:c>
      <x:c r="P52" s="60" t="n">
        <x:f>IFERROR(F52/O52-1,"")</x:f>
        <x:v>2.36</x:v>
      </x:c>
      <x:c r="Q52" s="55" t="n">
        <x:v>1992</x:v>
      </x:c>
      <x:c r="R52" s="55" t="str"/>
      <x:c r="S52" s="55" t="str">
        <x:v>중개거래</x:v>
      </x:c>
      <x:c r="T52" s="55" t="str">
        <x:v>서울 용산구</x:v>
      </x:c>
      <x:c r="U52" s="55" t="n">
        <x:v>16040848</x:v>
      </x:c>
      <x:c r="V52" s="55" t="str">
        <x:v>활성</x:v>
      </x:c>
    </x:row>
    <x:row r="53">
      <x:c r="A53" s="55" t="n">
        <x:v>49</x:v>
      </x:c>
      <x:c r="B53" s="56" t="n">
        <x:v>46053</x:v>
      </x:c>
      <x:c r="C53" s="61" t="str">
        <x:v>서계동 96-6</x:v>
      </x:c>
      <x:c r="D53" s="61" t="str">
        <x:v>(96-6)</x:v>
      </x:c>
      <x:c r="E53" s="55" t="str">
        <x:v>다세대주택</x:v>
      </x:c>
      <x:c r="F53" s="57" t="n">
        <x:v>98000</x:v>
      </x:c>
      <x:c r="G53" s="58" t="n">
        <x:f>IFERROR(F53/10000,"")</x:f>
        <x:v>9.8</x:v>
      </x:c>
      <x:c r="H53" s="55" t="str">
        <x:v>다세대</x:v>
      </x:c>
      <x:c r="I53" s="59" t="n">
        <x:v>29.87</x:v>
      </x:c>
      <x:c r="J53" s="59" t="n">
        <x:f>IFERROR(I53/3.3058,"")</x:f>
        <x:v>9.035634339645473</x:v>
      </x:c>
      <x:c r="K53" s="57" t="n">
        <x:f>IFERROR(F53/J53,"")</x:f>
        <x:v>10845.945764981585</x:v>
      </x:c>
      <x:c r="L53" s="59" t="n">
        <x:v>39.6</x:v>
      </x:c>
      <x:c r="M53" s="57" t="n">
        <x:f>IFERROR(F53/(L53/3.3),"")</x:f>
        <x:v>8166.666666666665</x:v>
      </x:c>
      <x:c r="N53" s="55" t="str">
        <x:v>2</x:v>
      </x:c>
      <x:c r="O53" s="57" t="n">
        <x:v>48100</x:v>
      </x:c>
      <x:c r="P53" s="60" t="n">
        <x:f>IFERROR(F53/O53-1,"")</x:f>
        <x:v>1.0374220374220373</x:v>
      </x:c>
      <x:c r="Q53" s="55" t="n">
        <x:v>1987</x:v>
      </x:c>
      <x:c r="R53" s="55" t="str">
        <x:v>비지하</x:v>
      </x:c>
      <x:c r="S53" s="55" t="str">
        <x:v>중개거래</x:v>
      </x:c>
      <x:c r="T53" s="55" t="str">
        <x:v>서울 용산구</x:v>
      </x:c>
      <x:c r="U53" s="55" t="n">
        <x:v>25523954</x:v>
      </x:c>
      <x:c r="V53" s="55" t="str">
        <x:v>활성</x:v>
      </x:c>
    </x:row>
    <x:row r="54">
      <x:c r="A54" s="55" t="n">
        <x:v>50</x:v>
      </x:c>
      <x:c r="B54" s="56" t="n">
        <x:v>46050</x:v>
      </x:c>
      <x:c r="C54" s="61" t="str">
        <x:v>서계동 252-78</x:v>
      </x:c>
      <x:c r="D54" s="61" t="str">
        <x:v>(252-78)</x:v>
      </x:c>
      <x:c r="E54" s="55" t="str">
        <x:v>다세대주택</x:v>
      </x:c>
      <x:c r="F54" s="57" t="n">
        <x:v>70000</x:v>
      </x:c>
      <x:c r="G54" s="58" t="n">
        <x:f>IFERROR(F54/10000,"")</x:f>
        <x:v>7</x:v>
      </x:c>
      <x:c r="H54" s="55" t="str">
        <x:v>다세대</x:v>
      </x:c>
      <x:c r="I54" s="59" t="n">
        <x:v>13.71</x:v>
      </x:c>
      <x:c r="J54" s="59" t="n">
        <x:f>IFERROR(I54/3.3058,"")</x:f>
        <x:v>4.147256337346482</x:v>
      </x:c>
      <x:c r="K54" s="57" t="n">
        <x:f>IFERROR(F54/J54,"")</x:f>
        <x:v>16878.628738147338</x:v>
      </x:c>
      <x:c r="L54" s="59" t="n">
        <x:v>41.77</x:v>
      </x:c>
      <x:c r="M54" s="57" t="n">
        <x:f>IFERROR(F54/(L54/3.3),"")</x:f>
        <x:v>5530.284893464208</x:v>
      </x:c>
      <x:c r="N54" s="55" t="str">
        <x:v>2</x:v>
      </x:c>
      <x:c r="O54" s="57" t="n">
        <x:v>22200</x:v>
      </x:c>
      <x:c r="P54" s="60" t="n">
        <x:f>IFERROR(F54/O54-1,"")</x:f>
        <x:v>2.1531531531531534</x:v>
      </x:c>
      <x:c r="Q54" s="55" t="n">
        <x:v>1998</x:v>
      </x:c>
      <x:c r="R54" s="55" t="str">
        <x:v>비지하</x:v>
      </x:c>
      <x:c r="S54" s="55" t="str">
        <x:v>중개거래</x:v>
      </x:c>
      <x:c r="T54" s="55" t="str">
        <x:v>서울 용산구</x:v>
      </x:c>
      <x:c r="U54" s="55" t="n">
        <x:v>25523932</x:v>
      </x:c>
      <x:c r="V54" s="55" t="str">
        <x:v>활성</x:v>
      </x:c>
    </x:row>
    <x:row r="55">
      <x:c r="A55" s="55" t="n">
        <x:v>51</x:v>
      </x:c>
      <x:c r="B55" s="56" t="n">
        <x:v>46041</x:v>
      </x:c>
      <x:c r="C55" s="61" t="str">
        <x:v>서계동 246-2</x:v>
      </x:c>
      <x:c r="D55" s="61" t="str">
        <x:v>수정빌라(246-2)</x:v>
      </x:c>
      <x:c r="E55" s="55" t="str">
        <x:v>다세대주택</x:v>
      </x:c>
      <x:c r="F55" s="57" t="n">
        <x:v>71000</x:v>
      </x:c>
      <x:c r="G55" s="58" t="n">
        <x:f>IFERROR(F55/10000,"")</x:f>
        <x:v>7.1</x:v>
      </x:c>
      <x:c r="H55" s="55" t="str">
        <x:v>다세대</x:v>
      </x:c>
      <x:c r="I55" s="59" t="n">
        <x:v>15.36</x:v>
      </x:c>
      <x:c r="J55" s="59" t="n">
        <x:f>IFERROR(I55/3.3058,"")</x:f>
        <x:v>4.646379091294089</x:v>
      </x:c>
      <x:c r="K55" s="57" t="n">
        <x:f>IFERROR(F55/J55,"")</x:f>
        <x:v>15280.716145833334</x:v>
      </x:c>
      <x:c r="L55" s="59" t="n">
        <x:v>40.17</x:v>
      </x:c>
      <x:c r="M55" s="57" t="n">
        <x:f>IFERROR(F55/(L55/3.3),"")</x:f>
        <x:v>5832.710978342046</x:v>
      </x:c>
      <x:c r="N55" s="55" t="str">
        <x:v>-1</x:v>
      </x:c>
      <x:c r="O55" s="57" t="n">
        <x:v>18000</x:v>
      </x:c>
      <x:c r="P55" s="60" t="n">
        <x:f>IFERROR(F55/O55-1,"")</x:f>
        <x:v>2.9444444444444446</x:v>
      </x:c>
      <x:c r="Q55" s="55" t="n">
        <x:v>1997</x:v>
      </x:c>
      <x:c r="R55" s="55" t="str">
        <x:v>지하</x:v>
      </x:c>
      <x:c r="S55" s="55" t="str">
        <x:v>중개거래</x:v>
      </x:c>
      <x:c r="T55" s="55" t="str">
        <x:v>서울 용산구</x:v>
      </x:c>
      <x:c r="U55" s="55" t="n">
        <x:v>25523927</x:v>
      </x:c>
      <x:c r="V55" s="55" t="str">
        <x:v>활성</x:v>
      </x:c>
    </x:row>
    <x:row r="56">
      <x:c r="A56" s="55" t="n">
        <x:v>52</x:v>
      </x:c>
      <x:c r="B56" s="56" t="n">
        <x:v>46032</x:v>
      </x:c>
      <x:c r="C56" s="61" t="str">
        <x:v>청파동1가 1-80</x:v>
      </x:c>
      <x:c r="D56" s="61" t="str">
        <x:v>청파블루빌</x:v>
      </x:c>
      <x:c r="E56" s="55" t="str">
        <x:v>다세대주택</x:v>
      </x:c>
      <x:c r="F56" s="57" t="n">
        <x:v>103000</x:v>
      </x:c>
      <x:c r="G56" s="58" t="n">
        <x:f>IFERROR(F56/10000,"")</x:f>
        <x:v>10.3</x:v>
      </x:c>
      <x:c r="H56" s="55" t="str">
        <x:v>다세대</x:v>
      </x:c>
      <x:c r="I56" s="59" t="n">
        <x:v>31.39</x:v>
      </x:c>
      <x:c r="J56" s="59" t="n">
        <x:f>IFERROR(I56/3.3058,"")</x:f>
        <x:v>9.495432270554783</x:v>
      </x:c>
      <x:c r="K56" s="57" t="n">
        <x:f>IFERROR(F56/J56,"")</x:f>
        <x:v>10847.32080280344</x:v>
      </x:c>
      <x:c r="L56" s="59" t="n">
        <x:v>52.19</x:v>
      </x:c>
      <x:c r="M56" s="57" t="n">
        <x:f>IFERROR(F56/(L56/3.3),"")</x:f>
        <x:v>6512.741904579421</x:v>
      </x:c>
      <x:c r="N56" s="55" t="str">
        <x:v>1</x:v>
      </x:c>
      <x:c r="O56" s="57" t="n">
        <x:v>53300</x:v>
      </x:c>
      <x:c r="P56" s="60" t="n">
        <x:f>IFERROR(F56/O56-1,"")</x:f>
        <x:v>0.9324577861163228</x:v>
      </x:c>
      <x:c r="Q56" s="55" t="n">
        <x:v>2008</x:v>
      </x:c>
      <x:c r="R56" s="55" t="str">
        <x:v>비지하</x:v>
      </x:c>
      <x:c r="S56" s="55" t="str">
        <x:v>중개거래</x:v>
      </x:c>
      <x:c r="T56" s="55" t="str">
        <x:v>서울 용산구</x:v>
      </x:c>
      <x:c r="U56" s="55" t="n">
        <x:v>25523990</x:v>
      </x:c>
      <x:c r="V56" s="55" t="str">
        <x:v>활성</x:v>
      </x:c>
    </x:row>
    <x:row r="57">
      <x:c r="A57" s="55" t="n">
        <x:v>53</x:v>
      </x:c>
      <x:c r="B57" s="56" t="n">
        <x:v>46031</x:v>
      </x:c>
      <x:c r="C57" s="61" t="str">
        <x:v>서계동 246-42</x:v>
      </x:c>
      <x:c r="D57" s="61" t="str">
        <x:v>청운빌라</x:v>
      </x:c>
      <x:c r="E57" s="55" t="str">
        <x:v>다세대주택</x:v>
      </x:c>
      <x:c r="F57" s="57" t="n">
        <x:v>64500</x:v>
      </x:c>
      <x:c r="G57" s="58" t="n">
        <x:f>IFERROR(F57/10000,"")</x:f>
        <x:v>6.45</x:v>
      </x:c>
      <x:c r="H57" s="55" t="str">
        <x:v>다세대</x:v>
      </x:c>
      <x:c r="I57" s="59" t="n">
        <x:v>18.45</x:v>
      </x:c>
      <x:c r="J57" s="59" t="n">
        <x:f>IFERROR(I57/3.3058,"")</x:f>
        <x:v>5.581099885050517</x:v>
      </x:c>
      <x:c r="K57" s="57" t="n">
        <x:f>IFERROR(F57/J57,"")</x:f>
        <x:v>11556.861788617885</x:v>
      </x:c>
      <x:c r="L57" s="59" t="n">
        <x:v>57.02</x:v>
      </x:c>
      <x:c r="M57" s="57" t="n">
        <x:f>IFERROR(F57/(L57/3.3),"")</x:f>
        <x:v>3732.900736583654</x:v>
      </x:c>
      <x:c r="N57" s="55" t="str">
        <x:v>-1</x:v>
      </x:c>
      <x:c r="O57" s="57" t="n">
        <x:v>27600</x:v>
      </x:c>
      <x:c r="P57" s="60" t="n">
        <x:f>IFERROR(F57/O57-1,"")</x:f>
        <x:v>1.3369565217391304</x:v>
      </x:c>
      <x:c r="Q57" s="55" t="n">
        <x:v>2001</x:v>
      </x:c>
      <x:c r="R57" s="55" t="str">
        <x:v>지하</x:v>
      </x:c>
      <x:c r="S57" s="55" t="str">
        <x:v>중개거래</x:v>
      </x:c>
      <x:c r="T57" s="55" t="str">
        <x:v>서울 용산구</x:v>
      </x:c>
      <x:c r="U57" s="55" t="n">
        <x:v>25523959</x:v>
      </x:c>
      <x:c r="V57" s="55" t="str">
        <x:v>활성</x:v>
      </x:c>
    </x:row>
    <x:row r="58">
      <x:c r="A58" s="55" t="n">
        <x:v>54</x:v>
      </x:c>
      <x:c r="B58" s="56" t="n">
        <x:v>46030</x:v>
      </x:c>
      <x:c r="C58" s="61" t="str">
        <x:v>서계동 33-14</x:v>
      </x:c>
      <x:c r="D58" s="61" t="str">
        <x:v>현대빌라(33-14)</x:v>
      </x:c>
      <x:c r="E58" s="55" t="str">
        <x:v>다세대주택</x:v>
      </x:c>
      <x:c r="F58" s="57" t="n">
        <x:v>85000</x:v>
      </x:c>
      <x:c r="G58" s="58" t="n">
        <x:f>IFERROR(F58/10000,"")</x:f>
        <x:v>8.5</x:v>
      </x:c>
      <x:c r="H58" s="55" t="str">
        <x:v>다세대</x:v>
      </x:c>
      <x:c r="I58" s="59" t="n">
        <x:v>32.42</x:v>
      </x:c>
      <x:c r="J58" s="59" t="n">
        <x:f>IFERROR(I58/3.3058,"")</x:f>
        <x:v>9.807005868473592</x:v>
      </x:c>
      <x:c r="K58" s="57" t="n">
        <x:f>IFERROR(F58/J58,"")</x:f>
        <x:v>8667.27328809377</x:v>
      </x:c>
      <x:c r="L58" s="59" t="n">
        <x:v>38.86</x:v>
      </x:c>
      <x:c r="M58" s="57" t="n">
        <x:f>IFERROR(F58/(L58/3.3),"")</x:f>
        <x:v>7218.219248584664</x:v>
      </x:c>
      <x:c r="N58" s="55" t="str">
        <x:v>-1</x:v>
      </x:c>
      <x:c r="O58" s="57" t="n">
        <x:v>37900</x:v>
      </x:c>
      <x:c r="P58" s="60" t="n">
        <x:f>IFERROR(F58/O58-1,"")</x:f>
        <x:v>1.2427440633245381</x:v>
      </x:c>
      <x:c r="Q58" s="55" t="n">
        <x:v>1989</x:v>
      </x:c>
      <x:c r="R58" s="55" t="str">
        <x:v>지하</x:v>
      </x:c>
      <x:c r="S58" s="55" t="str">
        <x:v>중개거래</x:v>
      </x:c>
      <x:c r="T58" s="55" t="str">
        <x:v>서울 마포구, 서울 용산구</x:v>
      </x:c>
      <x:c r="U58" s="55" t="n">
        <x:v>25523998</x:v>
      </x:c>
      <x:c r="V58" s="55" t="str">
        <x:v>활성</x:v>
      </x:c>
    </x:row>
    <x:row r="59">
      <x:c r="A59" s="55" t="n">
        <x:v>55</x:v>
      </x:c>
      <x:c r="B59" s="56" t="n">
        <x:v>46026</x:v>
      </x:c>
      <x:c r="C59" s="61" t="str">
        <x:v>서계동 240-30</x:v>
      </x:c>
      <x:c r="D59" s="61" t="str">
        <x:v>(240-30)</x:v>
      </x:c>
      <x:c r="E59" s="55" t="str">
        <x:v>다세대주택</x:v>
      </x:c>
      <x:c r="F59" s="57" t="n">
        <x:v>76500</x:v>
      </x:c>
      <x:c r="G59" s="58" t="n">
        <x:f>IFERROR(F59/10000,"")</x:f>
        <x:v>7.65</x:v>
      </x:c>
      <x:c r="H59" s="55" t="str">
        <x:v>다세대</x:v>
      </x:c>
      <x:c r="I59" s="59" t="n">
        <x:v>16.04</x:v>
      </x:c>
      <x:c r="J59" s="59" t="n">
        <x:f>IFERROR(I59/3.3058,"")</x:f>
        <x:v>4.852078165648254</x:v>
      </x:c>
      <x:c r="K59" s="57" t="n">
        <x:f>IFERROR(F59/J59,"")</x:f>
        <x:v>15766.440149625938</x:v>
      </x:c>
      <x:c r="L59" s="59" t="n">
        <x:v>49.52</x:v>
      </x:c>
      <x:c r="M59" s="57" t="n">
        <x:f>IFERROR(F59/(L59/3.3),"")</x:f>
        <x:v>5097.940226171243</x:v>
      </x:c>
      <x:c r="N59" s="55" t="str">
        <x:v>1</x:v>
      </x:c>
      <x:c r="O59" s="57" t="n">
        <x:v>28700</x:v>
      </x:c>
      <x:c r="P59" s="60" t="n">
        <x:f>IFERROR(F59/O59-1,"")</x:f>
        <x:v>1.6655052264808363</x:v>
      </x:c>
      <x:c r="Q59" s="55" t="n">
        <x:v>1998</x:v>
      </x:c>
      <x:c r="R59" s="55" t="str">
        <x:v>비지하</x:v>
      </x:c>
      <x:c r="S59" s="55" t="str">
        <x:v>중개거래</x:v>
      </x:c>
      <x:c r="T59" s="55" t="str">
        <x:v>서울 용산구</x:v>
      </x:c>
      <x:c r="U59" s="55" t="n">
        <x:v>25523997</x:v>
      </x:c>
      <x:c r="V59" s="55" t="str">
        <x:v>활성</x:v>
      </x:c>
    </x:row>
    <x:row r="60">
      <x:c r="A60" s="55" t="n">
        <x:v>56</x:v>
      </x:c>
      <x:c r="B60" s="56" t="n">
        <x:v>46021</x:v>
      </x:c>
      <x:c r="C60" s="61" t="str">
        <x:v>서계동 252-50</x:v>
      </x:c>
      <x:c r="D60" s="61" t="str">
        <x:v>(252-50)</x:v>
      </x:c>
      <x:c r="E60" s="55" t="str">
        <x:v>다세대주택</x:v>
      </x:c>
      <x:c r="F60" s="57" t="n">
        <x:v>75000</x:v>
      </x:c>
      <x:c r="G60" s="58" t="n">
        <x:f>IFERROR(F60/10000,"")</x:f>
        <x:v>7.5</x:v>
      </x:c>
      <x:c r="H60" s="55" t="str">
        <x:v>다세대</x:v>
      </x:c>
      <x:c r="I60" s="59" t="n">
        <x:v>18.36</x:v>
      </x:c>
      <x:c r="J60" s="59" t="n">
        <x:f>IFERROR(I60/3.3058,"")</x:f>
        <x:v>5.553875007562466</x:v>
      </x:c>
      <x:c r="K60" s="57" t="n">
        <x:f>IFERROR(F60/J60,"")</x:f>
        <x:v>13504.084967320261</x:v>
      </x:c>
      <x:c r="L60" s="59" t="n">
        <x:v>45.54</x:v>
      </x:c>
      <x:c r="M60" s="57" t="n">
        <x:f>IFERROR(F60/(L60/3.3),"")</x:f>
        <x:v>5434.782608695652</x:v>
      </x:c>
      <x:c r="N60" s="55" t="str">
        <x:v>-1</x:v>
      </x:c>
      <x:c r="O60" s="57" t="n">
        <x:v>24900</x:v>
      </x:c>
      <x:c r="P60" s="60" t="n">
        <x:f>IFERROR(F60/O60-1,"")</x:f>
        <x:v>2.0120481927710845</x:v>
      </x:c>
      <x:c r="Q60" s="55" t="n">
        <x:v>1998</x:v>
      </x:c>
      <x:c r="R60" s="55" t="str">
        <x:v>지하</x:v>
      </x:c>
      <x:c r="S60" s="55" t="str">
        <x:v>중개거래</x:v>
      </x:c>
      <x:c r="T60" s="55" t="str">
        <x:v>서울 용산구</x:v>
      </x:c>
      <x:c r="U60" s="55" t="n">
        <x:v>25530767</x:v>
      </x:c>
      <x:c r="V60" s="55" t="str">
        <x:v>활성</x:v>
      </x:c>
    </x:row>
    <x:row r="61">
      <x:c r="A61" s="55" t="n">
        <x:v>57</x:v>
      </x:c>
      <x:c r="B61" s="56" t="n">
        <x:v>46021</x:v>
      </x:c>
      <x:c r="C61" s="61" t="str">
        <x:v>서계동 240-16</x:v>
      </x:c>
      <x:c r="D61" s="61" t="str">
        <x:v>(240-16)</x:v>
      </x:c>
      <x:c r="E61" s="55" t="str">
        <x:v>다세대주택</x:v>
      </x:c>
      <x:c r="F61" s="57" t="n">
        <x:v>73000</x:v>
      </x:c>
      <x:c r="G61" s="58" t="n">
        <x:f>IFERROR(F61/10000,"")</x:f>
        <x:v>7.3</x:v>
      </x:c>
      <x:c r="H61" s="55" t="str">
        <x:v>다세대</x:v>
      </x:c>
      <x:c r="I61" s="59" t="n">
        <x:v>19.02</x:v>
      </x:c>
      <x:c r="J61" s="59" t="n">
        <x:f>IFERROR(I61/3.3058,"")</x:f>
        <x:v>5.753524109141509</x:v>
      </x:c>
      <x:c r="K61" s="57" t="n">
        <x:f>IFERROR(F61/J61,"")</x:f>
        <x:v>12687.875920084121</x:v>
      </x:c>
      <x:c r="L61" s="59" t="n">
        <x:v>45.81</x:v>
      </x:c>
      <x:c r="M61" s="57" t="n">
        <x:f>IFERROR(F61/(L61/3.3),"")</x:f>
        <x:v>5258.677144728225</x:v>
      </x:c>
      <x:c r="N61" s="55" t="str">
        <x:v>-1</x:v>
      </x:c>
      <x:c r="O61" s="57" t="n">
        <x:v>26300</x:v>
      </x:c>
      <x:c r="P61" s="60" t="n">
        <x:f>IFERROR(F61/O61-1,"")</x:f>
        <x:v>1.7756653992395437</x:v>
      </x:c>
      <x:c r="Q61" s="55" t="n">
        <x:v>1997</x:v>
      </x:c>
      <x:c r="R61" s="55" t="str">
        <x:v>지하</x:v>
      </x:c>
      <x:c r="S61" s="55" t="str">
        <x:v>중개거래</x:v>
      </x:c>
      <x:c r="T61" s="55" t="str">
        <x:v>서울 용산구</x:v>
      </x:c>
      <x:c r="U61" s="55" t="n">
        <x:v>25530759</x:v>
      </x:c>
      <x:c r="V61" s="55" t="str">
        <x:v>활성</x:v>
      </x:c>
    </x:row>
    <x:row r="62">
      <x:c r="A62" s="55" t="n">
        <x:v>58</x:v>
      </x:c>
      <x:c r="B62" s="56" t="n">
        <x:v>46020</x:v>
      </x:c>
      <x:c r="C62" s="61" t="str">
        <x:v>청파동1가 1-95</x:v>
      </x:c>
      <x:c r="D62" s="61" t="str">
        <x:v>대성빌라2차</x:v>
      </x:c>
      <x:c r="E62" s="55" t="str">
        <x:v>다세대주택</x:v>
      </x:c>
      <x:c r="F62" s="57" t="n">
        <x:v>85000</x:v>
      </x:c>
      <x:c r="G62" s="58" t="n">
        <x:f>IFERROR(F62/10000,"")</x:f>
        <x:v>8.5</x:v>
      </x:c>
      <x:c r="H62" s="55" t="str">
        <x:v>연립</x:v>
      </x:c>
      <x:c r="I62" s="59" t="n">
        <x:v>33.14</x:v>
      </x:c>
      <x:c r="J62" s="59" t="n">
        <x:f>IFERROR(I62/3.3058,"")</x:f>
        <x:v>10.024804888378002</x:v>
      </x:c>
      <x:c r="K62" s="57" t="n">
        <x:f>IFERROR(F62/J62,"")</x:f>
        <x:v>8478.968014484008</x:v>
      </x:c>
      <x:c r="L62" s="59" t="n">
        <x:v>79.23</x:v>
      </x:c>
      <x:c r="M62" s="57" t="n">
        <x:f>IFERROR(F62/(L62/3.3),"")</x:f>
        <x:v>3540.325634229458</x:v>
      </x:c>
      <x:c r="N62" s="55" t="str">
        <x:v>-1</x:v>
      </x:c>
      <x:c r="O62" s="57" t="n">
        <x:v>28200</x:v>
      </x:c>
      <x:c r="P62" s="60" t="n">
        <x:f>IFERROR(F62/O62-1,"")</x:f>
        <x:v>2.0141843971631204</x:v>
      </x:c>
      <x:c r="Q62" s="55" t="n">
        <x:v>1995</x:v>
      </x:c>
      <x:c r="R62" s="55" t="str">
        <x:v>지하</x:v>
      </x:c>
      <x:c r="S62" s="55" t="str">
        <x:v>중개거래</x:v>
      </x:c>
      <x:c r="T62" s="55" t="str">
        <x:v>서울 용산구</x:v>
      </x:c>
      <x:c r="U62" s="55" t="n">
        <x:v>25530752</x:v>
      </x:c>
      <x:c r="V62" s="55" t="str">
        <x:v>활성</x:v>
      </x:c>
    </x:row>
    <x:row r="63">
      <x:c r="A63" s="55" t="n">
        <x:v>59</x:v>
      </x:c>
      <x:c r="B63" s="56" t="n">
        <x:v>46015</x:v>
      </x:c>
      <x:c r="C63" s="61" t="str">
        <x:v>청파동1가 1-16</x:v>
      </x:c>
      <x:c r="D63" s="61" t="str">
        <x:v>가보주택</x:v>
      </x:c>
      <x:c r="E63" s="55" t="str">
        <x:v>다세대주택</x:v>
      </x:c>
      <x:c r="F63" s="57" t="n">
        <x:v>46500</x:v>
      </x:c>
      <x:c r="G63" s="58" t="n">
        <x:f>IFERROR(F63/10000,"")</x:f>
        <x:v>4.65</x:v>
      </x:c>
      <x:c r="H63" s="55" t="str">
        <x:v>다세대</x:v>
      </x:c>
      <x:c r="I63" s="59" t="n">
        <x:v>14.028</x:v>
      </x:c>
      <x:c r="J63" s="59" t="n">
        <x:f>IFERROR(I63/3.3058,"")</x:f>
        <x:v>4.24345090447093</x:v>
      </x:c>
      <x:c r="K63" s="57" t="n">
        <x:f>IFERROR(F63/J63,"")</x:f>
        <x:v>10958.0624465355</x:v>
      </x:c>
      <x:c r="L63" s="59" t="n">
        <x:v>27.72</x:v>
      </x:c>
      <x:c r="M63" s="57" t="n">
        <x:f>IFERROR(F63/(L63/3.3),"")</x:f>
        <x:v>5535.714285714285</x:v>
      </x:c>
      <x:c r="N63" s="55" t="str">
        <x:v>2</x:v>
      </x:c>
      <x:c r="O63" s="57" t="n">
        <x:v>21900</x:v>
      </x:c>
      <x:c r="P63" s="60" t="n">
        <x:f>IFERROR(F63/O63-1,"")</x:f>
        <x:v>1.1232876712328768</x:v>
      </x:c>
      <x:c r="Q63" s="55" t="n">
        <x:v>1997</x:v>
      </x:c>
      <x:c r="R63" s="55" t="str">
        <x:v>비지하</x:v>
      </x:c>
      <x:c r="S63" s="55" t="str">
        <x:v>중개거래</x:v>
      </x:c>
      <x:c r="T63" s="55" t="str">
        <x:v>서울 용산구</x:v>
      </x:c>
      <x:c r="U63" s="55" t="n">
        <x:v>25530749</x:v>
      </x:c>
      <x:c r="V63" s="55" t="str">
        <x:v>활성</x:v>
      </x:c>
    </x:row>
    <x:row r="64">
      <x:c r="A64" s="55" t="n">
        <x:v>60</x:v>
      </x:c>
      <x:c r="B64" s="56" t="n">
        <x:v>46013</x:v>
      </x:c>
      <x:c r="C64" s="61" t="str">
        <x:v>서계동 245-28</x:v>
      </x:c>
      <x:c r="D64" s="61" t="str">
        <x:v>(245-28)</x:v>
      </x:c>
      <x:c r="E64" s="55" t="str">
        <x:v>다세대주택</x:v>
      </x:c>
      <x:c r="F64" s="57" t="n">
        <x:v>86000</x:v>
      </x:c>
      <x:c r="G64" s="58" t="n">
        <x:f>IFERROR(F64/10000,"")</x:f>
        <x:v>8.6</x:v>
      </x:c>
      <x:c r="H64" s="55" t="str">
        <x:v>다세대</x:v>
      </x:c>
      <x:c r="I64" s="59" t="n">
        <x:v>18.65</x:v>
      </x:c>
      <x:c r="J64" s="59" t="n">
        <x:f>IFERROR(I64/3.3058,"")</x:f>
        <x:v>5.641599612801742</x:v>
      </x:c>
      <x:c r="K64" s="57" t="n">
        <x:f>IFERROR(F64/J64,"")</x:f>
        <x:v>15243.903485254692</x:v>
      </x:c>
      <x:c r="L64" s="59" t="n">
        <x:v>42.62</x:v>
      </x:c>
      <x:c r="M64" s="57" t="n">
        <x:f>IFERROR(F64/(L64/3.3),"")</x:f>
        <x:v>6658.84561238855</x:v>
      </x:c>
      <x:c r="N64" s="55" t="str">
        <x:v>1</x:v>
      </x:c>
      <x:c r="O64" s="57" t="n">
        <x:v>29300</x:v>
      </x:c>
      <x:c r="P64" s="60" t="n">
        <x:f>IFERROR(F64/O64-1,"")</x:f>
        <x:v>1.9351535836177476</x:v>
      </x:c>
      <x:c r="Q64" s="55" t="n">
        <x:v>1999</x:v>
      </x:c>
      <x:c r="R64" s="55" t="str">
        <x:v>비지하</x:v>
      </x:c>
      <x:c r="S64" s="55" t="str">
        <x:v>중개거래</x:v>
      </x:c>
      <x:c r="T64" s="55" t="str">
        <x:v>서울 용산구, 서울 중구</x:v>
      </x:c>
      <x:c r="U64" s="55" t="n">
        <x:v>25530753</x:v>
      </x:c>
      <x:c r="V64" s="55" t="str">
        <x:v>활성</x:v>
      </x:c>
    </x:row>
    <x:row r="65">
      <x:c r="A65" s="55" t="n">
        <x:v>61</x:v>
      </x:c>
      <x:c r="B65" s="56" t="n">
        <x:v>45992</x:v>
      </x:c>
      <x:c r="C65" s="61" t="str">
        <x:v>청파동1가 1-80</x:v>
      </x:c>
      <x:c r="D65" s="61" t="str">
        <x:v>청파블루빌</x:v>
      </x:c>
      <x:c r="E65" s="55" t="str">
        <x:v>다세대주택</x:v>
      </x:c>
      <x:c r="F65" s="57" t="n">
        <x:v>101000</x:v>
      </x:c>
      <x:c r="G65" s="58" t="n">
        <x:f>IFERROR(F65/10000,"")</x:f>
        <x:v>10.1</x:v>
      </x:c>
      <x:c r="H65" s="55" t="str">
        <x:v>다세대</x:v>
      </x:c>
      <x:c r="I65" s="59" t="n">
        <x:v>31.39</x:v>
      </x:c>
      <x:c r="J65" s="59" t="n">
        <x:f>IFERROR(I65/3.3058,"")</x:f>
        <x:v>9.495432270554783</x:v>
      </x:c>
      <x:c r="K65" s="57" t="n">
        <x:f>IFERROR(F65/J65,"")</x:f>
        <x:v>10636.693214399489</x:v>
      </x:c>
      <x:c r="L65" s="59" t="n">
        <x:v>52.19</x:v>
      </x:c>
      <x:c r="M65" s="57" t="n">
        <x:f>IFERROR(F65/(L65/3.3),"")</x:f>
        <x:v>6386.2808967235105</x:v>
      </x:c>
      <x:c r="N65" s="55" t="str">
        <x:v>2</x:v>
      </x:c>
      <x:c r="O65" s="57" t="n">
        <x:v>54300</x:v>
      </x:c>
      <x:c r="P65" s="60" t="n">
        <x:f>IFERROR(F65/O65-1,"")</x:f>
        <x:v>0.8600368324125229</x:v>
      </x:c>
      <x:c r="Q65" s="55" t="n">
        <x:v>2008</x:v>
      </x:c>
      <x:c r="R65" s="55" t="str">
        <x:v>비지하</x:v>
      </x:c>
      <x:c r="S65" s="55" t="str">
        <x:v>중개거래</x:v>
      </x:c>
      <x:c r="T65" s="55" t="str">
        <x:v>서울 용산구</x:v>
      </x:c>
      <x:c r="U65" s="55" t="n">
        <x:v>25530798</x:v>
      </x:c>
      <x:c r="V65" s="55" t="str">
        <x:v>활성</x:v>
      </x:c>
    </x:row>
    <x:row r="66">
      <x:c r="A66" s="55" t="n">
        <x:v>62</x:v>
      </x:c>
      <x:c r="B66" s="56" t="n">
        <x:v>45976</x:v>
      </x:c>
      <x:c r="C66" s="61" t="str">
        <x:v>서계동 252-35</x:v>
      </x:c>
      <x:c r="D66" s="61" t="str"/>
      <x:c r="E66" s="55" t="str">
        <x:v>단독주택</x:v>
      </x:c>
      <x:c r="F66" s="57" t="n">
        <x:v>129000</x:v>
      </x:c>
      <x:c r="G66" s="58" t="n">
        <x:f>IFERROR(F66/10000,"")</x:f>
        <x:v>12.9</x:v>
      </x:c>
      <x:c r="H66" s="55" t="str">
        <x:v>다가구</x:v>
      </x:c>
      <x:c r="I66" s="59" t="n">
        <x:v>76.7</x:v>
      </x:c>
      <x:c r="J66" s="59" t="n">
        <x:f>IFERROR(I66/3.3058,"")</x:f>
        <x:v>23.201645592594833</x:v>
      </x:c>
      <x:c r="K66" s="57" t="n">
        <x:f>IFERROR(F66/J66,"")</x:f>
        <x:v>5559.950456323338</x:v>
      </x:c>
      <x:c r="L66" s="59" t="n">
        <x:v>142.42</x:v>
      </x:c>
      <x:c r="M66" s="57" t="n">
        <x:f>IFERROR(F66/(L66/3.3),"")</x:f>
        <x:v>2989.046482235641</x:v>
      </x:c>
      <x:c r="N66" s="55" t="str"/>
      <x:c r="O66" s="57" t="n">
        <x:v>41500</x:v>
      </x:c>
      <x:c r="P66" s="60" t="n">
        <x:f>IFERROR(F66/O66-1,"")</x:f>
        <x:v>2.108433734939759</x:v>
      </x:c>
      <x:c r="Q66" s="55" t="n">
        <x:v>1994</x:v>
      </x:c>
      <x:c r="R66" s="55" t="str"/>
      <x:c r="S66" s="55" t="str">
        <x:v>중개거래</x:v>
      </x:c>
      <x:c r="T66" s="55" t="str">
        <x:v>서울 용산구</x:v>
      </x:c>
      <x:c r="U66" s="55" t="n">
        <x:v>9092340</x:v>
      </x:c>
      <x:c r="V66" s="55" t="str">
        <x:v>활성</x:v>
      </x:c>
    </x:row>
    <x:row r="67">
      <x:c r="A67" s="55" t="n">
        <x:v>63</x:v>
      </x:c>
      <x:c r="B67" s="56" t="n">
        <x:v>45971</x:v>
      </x:c>
      <x:c r="C67" s="61" t="str">
        <x:v>서계동 251-11</x:v>
      </x:c>
      <x:c r="D67" s="61" t="str">
        <x:v>(251-11)</x:v>
      </x:c>
      <x:c r="E67" s="55" t="str">
        <x:v>다세대주택</x:v>
      </x:c>
      <x:c r="F67" s="57" t="n">
        <x:v>35000</x:v>
      </x:c>
      <x:c r="G67" s="58" t="n">
        <x:f>IFERROR(F67/10000,"")</x:f>
        <x:v>3.5</x:v>
      </x:c>
      <x:c r="H67" s="55" t="str">
        <x:v>다세대</x:v>
      </x:c>
      <x:c r="I67" s="59" t="n">
        <x:v>17</x:v>
      </x:c>
      <x:c r="J67" s="59" t="n">
        <x:f>IFERROR(I67/3.3058,"")</x:f>
        <x:v>5.142476858854135</x:v>
      </x:c>
      <x:c r="K67" s="57" t="n">
        <x:f>IFERROR(F67/J67,"")</x:f>
        <x:v>6806.058823529413</x:v>
      </x:c>
      <x:c r="L67" s="59" t="n">
        <x:v>32.86</x:v>
      </x:c>
      <x:c r="M67" s="57" t="n">
        <x:f>IFERROR(F67/(L67/3.3),"")</x:f>
        <x:v>3514.9117468046256</x:v>
      </x:c>
      <x:c r="N67" s="55" t="str">
        <x:v>1</x:v>
      </x:c>
      <x:c r="O67" s="57" t="n">
        <x:v>29000</x:v>
      </x:c>
      <x:c r="P67" s="60" t="n">
        <x:f>IFERROR(F67/O67-1,"")</x:f>
        <x:v>0.2068965517241379</x:v>
      </x:c>
      <x:c r="Q67" s="55" t="n">
        <x:v>1996</x:v>
      </x:c>
      <x:c r="R67" s="55" t="str">
        <x:v>비지하</x:v>
      </x:c>
      <x:c r="S67" s="55" t="str">
        <x:v>중개거래</x:v>
      </x:c>
      <x:c r="T67" s="55" t="str">
        <x:v>서울 용산구</x:v>
      </x:c>
      <x:c r="U67" s="55" t="n">
        <x:v>25533815</x:v>
      </x:c>
      <x:c r="V67" s="55" t="str">
        <x:v>활성</x:v>
      </x:c>
    </x:row>
    <x:row r="68">
      <x:c r="A68" s="55" t="n">
        <x:v>64</x:v>
      </x:c>
      <x:c r="B68" s="56" t="n">
        <x:v>45968</x:v>
      </x:c>
      <x:c r="C68" s="61" t="str">
        <x:v>서계동 251-54</x:v>
      </x:c>
      <x:c r="D68" s="61" t="str">
        <x:v>(251-54)</x:v>
      </x:c>
      <x:c r="E68" s="55" t="str">
        <x:v>다세대주택</x:v>
      </x:c>
      <x:c r="F68" s="57" t="n">
        <x:v>96000</x:v>
      </x:c>
      <x:c r="G68" s="58" t="n">
        <x:f>IFERROR(F68/10000,"")</x:f>
        <x:v>9.6</x:v>
      </x:c>
      <x:c r="H68" s="55" t="str">
        <x:v>다세대</x:v>
      </x:c>
      <x:c r="I68" s="59" t="n">
        <x:v>26.45</x:v>
      </x:c>
      <x:c r="J68" s="59" t="n">
        <x:f>IFERROR(I68/3.3058,"")</x:f>
        <x:v>8.001088995099522</x:v>
      </x:c>
      <x:c r="K68" s="57" t="n">
        <x:f>IFERROR(F68/J68,"")</x:f>
        <x:v>11998.366729678639</x:v>
      </x:c>
      <x:c r="L68" s="59" t="n">
        <x:v>56.02</x:v>
      </x:c>
      <x:c r="M68" s="57" t="n">
        <x:f>IFERROR(F68/(L68/3.3),"")</x:f>
        <x:v>5655.123170296322</x:v>
      </x:c>
      <x:c r="N68" s="55" t="str">
        <x:v>2</x:v>
      </x:c>
      <x:c r="O68" s="57" t="n">
        <x:v>57000</x:v>
      </x:c>
      <x:c r="P68" s="60" t="n">
        <x:f>IFERROR(F68/O68-1,"")</x:f>
        <x:v>0.6842105263157894</x:v>
      </x:c>
      <x:c r="Q68" s="55" t="n">
        <x:v>2009</x:v>
      </x:c>
      <x:c r="R68" s="55" t="str">
        <x:v>비지하</x:v>
      </x:c>
      <x:c r="S68" s="55" t="str">
        <x:v>중개거래</x:v>
      </x:c>
      <x:c r="T68" s="55" t="str">
        <x:v>서울 마포구, 서울 용산구</x:v>
      </x:c>
      <x:c r="U68" s="55" t="n">
        <x:v>25533812</x:v>
      </x:c>
      <x:c r="V68" s="55" t="str">
        <x:v>활성</x:v>
      </x:c>
    </x:row>
    <x:row r="69">
      <x:c r="A69" s="55" t="n">
        <x:v>65</x:v>
      </x:c>
      <x:c r="B69" s="56" t="n">
        <x:v>45968</x:v>
      </x:c>
      <x:c r="C69" s="61" t="str">
        <x:v>청파동1가 1-16</x:v>
      </x:c>
      <x:c r="D69" s="61" t="str">
        <x:v>가보주택</x:v>
      </x:c>
      <x:c r="E69" s="55" t="str">
        <x:v>다세대주택</x:v>
      </x:c>
      <x:c r="F69" s="57" t="n">
        <x:v>53000</x:v>
      </x:c>
      <x:c r="G69" s="58" t="n">
        <x:f>IFERROR(F69/10000,"")</x:f>
        <x:v>5.3</x:v>
      </x:c>
      <x:c r="H69" s="55" t="str">
        <x:v>다세대</x:v>
      </x:c>
      <x:c r="I69" s="59" t="n">
        <x:v>15.873</x:v>
      </x:c>
      <x:c r="J69" s="59" t="n">
        <x:f>IFERROR(I69/3.3058,"")</x:f>
        <x:v>4.801560892975981</x:v>
      </x:c>
      <x:c r="K69" s="57" t="n">
        <x:f>IFERROR(F69/J69,"")</x:f>
        <x:v>11038.077238077238</x:v>
      </x:c>
      <x:c r="L69" s="59" t="n">
        <x:v>31.36</x:v>
      </x:c>
      <x:c r="M69" s="57" t="n">
        <x:f>IFERROR(F69/(L69/3.3),"")</x:f>
        <x:v>5577.168367346938</x:v>
      </x:c>
      <x:c r="N69" s="55" t="str">
        <x:v>2</x:v>
      </x:c>
      <x:c r="O69" s="57" t="n">
        <x:v>24900</x:v>
      </x:c>
      <x:c r="P69" s="60" t="n">
        <x:f>IFERROR(F69/O69-1,"")</x:f>
        <x:v>1.1285140562248994</x:v>
      </x:c>
      <x:c r="Q69" s="55" t="n">
        <x:v>1997</x:v>
      </x:c>
      <x:c r="R69" s="55" t="str">
        <x:v>비지하</x:v>
      </x:c>
      <x:c r="S69" s="55" t="str">
        <x:v>중개거래</x:v>
      </x:c>
      <x:c r="T69" s="55" t="str">
        <x:v>서울 용산구</x:v>
      </x:c>
      <x:c r="U69" s="55" t="n">
        <x:v>25533743</x:v>
      </x:c>
      <x:c r="V69" s="55" t="str">
        <x:v>활성</x:v>
      </x:c>
    </x:row>
    <x:row r="70">
      <x:c r="A70" s="55" t="n">
        <x:v>66</x:v>
      </x:c>
      <x:c r="B70" s="56" t="n">
        <x:v>45962</x:v>
      </x:c>
      <x:c r="C70" s="61" t="str">
        <x:v>서계동 96-12</x:v>
      </x:c>
      <x:c r="D70" s="61" t="str">
        <x:v>엘림빌라</x:v>
      </x:c>
      <x:c r="E70" s="55" t="str">
        <x:v>다세대주택</x:v>
      </x:c>
      <x:c r="F70" s="57" t="n">
        <x:v>111000</x:v>
      </x:c>
      <x:c r="G70" s="58" t="n">
        <x:f>IFERROR(F70/10000,"")</x:f>
        <x:v>11.1</x:v>
      </x:c>
      <x:c r="H70" s="55" t="str">
        <x:v>다세대</x:v>
      </x:c>
      <x:c r="I70" s="59" t="n">
        <x:v>47.1</x:v>
      </x:c>
      <x:c r="J70" s="59" t="n">
        <x:f>IFERROR(I70/3.3058,"")</x:f>
        <x:v>14.247685885413516</x:v>
      </x:c>
      <x:c r="K70" s="57" t="n">
        <x:f>IFERROR(F70/J70,"")</x:f>
        <x:v>7790.738853503185</x:v>
      </x:c>
      <x:c r="L70" s="59" t="n">
        <x:v>69.03</x:v>
      </x:c>
      <x:c r="M70" s="57" t="n">
        <x:f>IFERROR(F70/(L70/3.3),"")</x:f>
        <x:v>5306.38852672751</x:v>
      </x:c>
      <x:c r="N70" s="55" t="str">
        <x:v>1</x:v>
      </x:c>
      <x:c r="O70" s="57" t="n">
        <x:v>73300</x:v>
      </x:c>
      <x:c r="P70" s="60" t="n">
        <x:f>IFERROR(F70/O70-1,"")</x:f>
        <x:v>0.514324693042292</x:v>
      </x:c>
      <x:c r="Q70" s="55" t="n">
        <x:v>1990</x:v>
      </x:c>
      <x:c r="R70" s="55" t="str">
        <x:v>비지하</x:v>
      </x:c>
      <x:c r="S70" s="55" t="str">
        <x:v>중개거래</x:v>
      </x:c>
      <x:c r="T70" s="55" t="str">
        <x:v>서울 용산구</x:v>
      </x:c>
      <x:c r="U70" s="55" t="n">
        <x:v>25533821</x:v>
      </x:c>
      <x:c r="V70" s="55" t="str">
        <x:v>활성</x:v>
      </x:c>
    </x:row>
    <x:row r="71">
      <x:c r="A71" s="55" t="n">
        <x:v>67</x:v>
      </x:c>
      <x:c r="B71" s="56" t="n">
        <x:v>45962</x:v>
      </x:c>
      <x:c r="C71" s="61" t="str">
        <x:v>서계동 241-4</x:v>
      </x:c>
      <x:c r="D71" s="61" t="str"/>
      <x:c r="E71" s="55" t="str">
        <x:v>단독주택</x:v>
      </x:c>
      <x:c r="F71" s="57" t="n">
        <x:v>80000</x:v>
      </x:c>
      <x:c r="G71" s="58" t="n">
        <x:f>IFERROR(F71/10000,"")</x:f>
        <x:v>8</x:v>
      </x:c>
      <x:c r="H71" s="55" t="str">
        <x:v>단독</x:v>
      </x:c>
      <x:c r="I71" s="59" t="n">
        <x:v>53.3</x:v>
      </x:c>
      <x:c r="J71" s="59" t="n">
        <x:f>IFERROR(I71/3.3058,"")</x:f>
        <x:v>16.123177445701494</x:v>
      </x:c>
      <x:c r="K71" s="57" t="n">
        <x:f>IFERROR(F71/J71,"")</x:f>
        <x:v>4961.801125703565</x:v>
      </x:c>
      <x:c r="L71" s="59" t="n">
        <x:v>26.45</x:v>
      </x:c>
      <x:c r="M71" s="57" t="n">
        <x:f>IFERROR(F71/(L71/3.3),"")</x:f>
        <x:v>9981.09640831758</x:v>
      </x:c>
      <x:c r="N71" s="55" t="str"/>
      <x:c r="O71" s="57" t="n">
        <x:v>31000</x:v>
      </x:c>
      <x:c r="P71" s="60" t="n">
        <x:f>IFERROR(F71/O71-1,"")</x:f>
        <x:v>1.5806451612903225</x:v>
      </x:c>
      <x:c r="Q71" s="55" t="n">
        <x:v>1936</x:v>
      </x:c>
      <x:c r="R71" s="55" t="str"/>
      <x:c r="S71" s="55" t="str">
        <x:v>중개거래</x:v>
      </x:c>
      <x:c r="T71" s="55" t="str">
        <x:v>서울 마포구, 서울 용산구</x:v>
      </x:c>
      <x:c r="U71" s="55" t="n">
        <x:v>9092354</x:v>
      </x:c>
      <x:c r="V71" s="55" t="str">
        <x:v>활성</x:v>
      </x:c>
    </x:row>
    <x:row r="72">
      <x:c r="A72" s="55" t="n">
        <x:v>68</x:v>
      </x:c>
      <x:c r="B72" s="56" t="n">
        <x:v>45959</x:v>
      </x:c>
      <x:c r="C72" s="61" t="str">
        <x:v>서계동 257-2</x:v>
      </x:c>
      <x:c r="D72" s="61" t="str">
        <x:v>(257-2)</x:v>
      </x:c>
      <x:c r="E72" s="55" t="str">
        <x:v>다세대주택</x:v>
      </x:c>
      <x:c r="F72" s="57" t="n">
        <x:v>41000</x:v>
      </x:c>
      <x:c r="G72" s="58" t="n">
        <x:f>IFERROR(F72/10000,"")</x:f>
        <x:v>4.1</x:v>
      </x:c>
      <x:c r="H72" s="55" t="str">
        <x:v>다세대</x:v>
      </x:c>
      <x:c r="I72" s="59" t="n">
        <x:v>9.56</x:v>
      </x:c>
      <x:c r="J72" s="59" t="n">
        <x:f>IFERROR(I72/3.3058,"")</x:f>
        <x:v>2.891886986508561</x:v>
      </x:c>
      <x:c r="K72" s="57" t="n">
        <x:f>IFERROR(F72/J72,"")</x:f>
        <x:v>14177.594142259413</x:v>
      </x:c>
      <x:c r="L72" s="59" t="n">
        <x:v>22.73</x:v>
      </x:c>
      <x:c r="M72" s="57" t="n">
        <x:f>IFERROR(F72/(L72/3.3),"")</x:f>
        <x:v>5952.485701715794</x:v>
      </x:c>
      <x:c r="N72" s="55" t="str">
        <x:v>-1</x:v>
      </x:c>
      <x:c r="O72" s="57" t="n">
        <x:v>13100</x:v>
      </x:c>
      <x:c r="P72" s="60" t="n">
        <x:f>IFERROR(F72/O72-1,"")</x:f>
        <x:v>2.1297709923664123</x:v>
      </x:c>
      <x:c r="Q72" s="55" t="n">
        <x:v>1998</x:v>
      </x:c>
      <x:c r="R72" s="55" t="str">
        <x:v>지하</x:v>
      </x:c>
      <x:c r="S72" s="55" t="str">
        <x:v>중개거래</x:v>
      </x:c>
      <x:c r="T72" s="55" t="str">
        <x:v>서울 용산구</x:v>
      </x:c>
      <x:c r="U72" s="55" t="n">
        <x:v>8516595</x:v>
      </x:c>
      <x:c r="V72" s="55" t="str">
        <x:v>활성</x:v>
      </x:c>
    </x:row>
    <x:row r="73">
      <x:c r="A73" s="55" t="n">
        <x:v>69</x:v>
      </x:c>
      <x:c r="B73" s="56" t="n">
        <x:v>45954</x:v>
      </x:c>
      <x:c r="C73" s="61" t="str">
        <x:v>서계동 247-15</x:v>
      </x:c>
      <x:c r="D73" s="61" t="str">
        <x:v>(247-15)</x:v>
      </x:c>
      <x:c r="E73" s="55" t="str">
        <x:v>다세대주택</x:v>
      </x:c>
      <x:c r="F73" s="57" t="n">
        <x:v>62500</x:v>
      </x:c>
      <x:c r="G73" s="58" t="n">
        <x:f>IFERROR(F73/10000,"")</x:f>
        <x:v>6.25</x:v>
      </x:c>
      <x:c r="H73" s="55" t="str">
        <x:v>다세대</x:v>
      </x:c>
      <x:c r="I73" s="59" t="n">
        <x:v>12.5</x:v>
      </x:c>
      <x:c r="J73" s="59" t="n">
        <x:f>IFERROR(I73/3.3058,"")</x:f>
        <x:v>3.7812329844515697</x:v>
      </x:c>
      <x:c r="K73" s="57" t="n">
        <x:f>IFERROR(F73/J73,"")</x:f>
        <x:v>16529</x:v>
      </x:c>
      <x:c r="L73" s="59" t="n">
        <x:v>29.72</x:v>
      </x:c>
      <x:c r="M73" s="57" t="n">
        <x:f>IFERROR(F73/(L73/3.3),"")</x:f>
        <x:v>6939.771197846568</x:v>
      </x:c>
      <x:c r="N73" s="55" t="str">
        <x:v>1</x:v>
      </x:c>
      <x:c r="O73" s="57" t="n">
        <x:v>19900</x:v>
      </x:c>
      <x:c r="P73" s="60" t="n">
        <x:f>IFERROR(F73/O73-1,"")</x:f>
        <x:v>2.14070351758794</x:v>
      </x:c>
      <x:c r="Q73" s="55" t="n">
        <x:v>2015</x:v>
      </x:c>
      <x:c r="R73" s="55" t="str">
        <x:v>비지하</x:v>
      </x:c>
      <x:c r="S73" s="55" t="str">
        <x:v>중개거래</x:v>
      </x:c>
      <x:c r="T73" s="55" t="str">
        <x:v>서울 용산구</x:v>
      </x:c>
      <x:c r="U73" s="55" t="n">
        <x:v>8516642</x:v>
      </x:c>
      <x:c r="V73" s="55" t="str">
        <x:v>활성</x:v>
      </x:c>
    </x:row>
    <x:row r="74">
      <x:c r="A74" s="55" t="n">
        <x:v>70</x:v>
      </x:c>
      <x:c r="B74" s="56" t="n">
        <x:v>45954</x:v>
      </x:c>
      <x:c r="C74" s="61" t="str">
        <x:v>서계동 251-12</x:v>
      </x:c>
      <x:c r="D74" s="61" t="str">
        <x:v>(251-12)</x:v>
      </x:c>
      <x:c r="E74" s="55" t="str">
        <x:v>다세대주택</x:v>
      </x:c>
      <x:c r="F74" s="57" t="n">
        <x:v>50000</x:v>
      </x:c>
      <x:c r="G74" s="58" t="n">
        <x:f>IFERROR(F74/10000,"")</x:f>
        <x:v>5</x:v>
      </x:c>
      <x:c r="H74" s="55" t="str">
        <x:v>다세대</x:v>
      </x:c>
      <x:c r="I74" s="59" t="n">
        <x:v>9.98</x:v>
      </x:c>
      <x:c r="J74" s="59" t="n">
        <x:f>IFERROR(I74/3.3058,"")</x:f>
        <x:v>3.0189364147861335</x:v>
      </x:c>
      <x:c r="K74" s="57" t="n">
        <x:f>IFERROR(F74/J74,"")</x:f>
        <x:v>16562.124248496995</x:v>
      </x:c>
      <x:c r="L74" s="59" t="n">
        <x:v>25.03</x:v>
      </x:c>
      <x:c r="M74" s="57" t="n">
        <x:f>IFERROR(F74/(L74/3.3),"")</x:f>
        <x:v>6592.089492608869</x:v>
      </x:c>
      <x:c r="N74" s="55" t="str">
        <x:v>-1</x:v>
      </x:c>
      <x:c r="O74" s="57" t="n">
        <x:v>13100</x:v>
      </x:c>
      <x:c r="P74" s="60" t="n">
        <x:f>IFERROR(F74/O74-1,"")</x:f>
        <x:v>2.816793893129771</x:v>
      </x:c>
      <x:c r="Q74" s="55" t="n">
        <x:v>1996</x:v>
      </x:c>
      <x:c r="R74" s="55" t="str">
        <x:v>지하</x:v>
      </x:c>
      <x:c r="S74" s="55" t="str">
        <x:v>중개거래</x:v>
      </x:c>
      <x:c r="T74" s="55" t="str">
        <x:v>서울 용산구</x:v>
      </x:c>
      <x:c r="U74" s="55" t="n">
        <x:v>8516616</x:v>
      </x:c>
      <x:c r="V74" s="55" t="str">
        <x:v>활성</x:v>
      </x:c>
    </x:row>
    <x:row r="75">
      <x:c r="A75" s="55" t="n">
        <x:v>71</x:v>
      </x:c>
      <x:c r="B75" s="56" t="n">
        <x:v>45954</x:v>
      </x:c>
      <x:c r="C75" s="61" t="str">
        <x:v>서계동 246-12</x:v>
      </x:c>
      <x:c r="D75" s="61" t="str"/>
      <x:c r="E75" s="55" t="str">
        <x:v>단독주택</x:v>
      </x:c>
      <x:c r="F75" s="57" t="n">
        <x:v>110000</x:v>
      </x:c>
      <x:c r="G75" s="58" t="n">
        <x:f>IFERROR(F75/10000,"")</x:f>
        <x:v>11</x:v>
      </x:c>
      <x:c r="H75" s="55" t="str">
        <x:v>단독</x:v>
      </x:c>
      <x:c r="I75" s="59" t="n">
        <x:v>62.8</x:v>
      </x:c>
      <x:c r="J75" s="59" t="n">
        <x:f>IFERROR(I75/3.3058,"")</x:f>
        <x:v>18.996914513884686</x:v>
      </x:c>
      <x:c r="K75" s="57" t="n">
        <x:f>IFERROR(F75/J75,"")</x:f>
        <x:v>5790.414012738854</x:v>
      </x:c>
      <x:c r="L75" s="59" t="n">
        <x:v>71.08</x:v>
      </x:c>
      <x:c r="M75" s="57" t="n">
        <x:f>IFERROR(F75/(L75/3.3),"")</x:f>
        <x:v>5106.921778277997</x:v>
      </x:c>
      <x:c r="N75" s="55" t="str"/>
      <x:c r="O75" s="57" t="n">
        <x:v>34600</x:v>
      </x:c>
      <x:c r="P75" s="60" t="n">
        <x:f>IFERROR(F75/O75-1,"")</x:f>
        <x:v>2.179190751445087</x:v>
      </x:c>
      <x:c r="Q75" s="55" t="n">
        <x:v>1982</x:v>
      </x:c>
      <x:c r="R75" s="55" t="str"/>
      <x:c r="S75" s="55" t="str">
        <x:v>중개거래</x:v>
      </x:c>
      <x:c r="T75" s="55" t="str">
        <x:v>서울 용산구</x:v>
      </x:c>
      <x:c r="U75" s="55" t="n">
        <x:v>8323952</x:v>
      </x:c>
      <x:c r="V75" s="55" t="str">
        <x:v>활성</x:v>
      </x:c>
    </x:row>
    <x:row r="76">
      <x:c r="A76" s="55" t="n">
        <x:v>72</x:v>
      </x:c>
      <x:c r="B76" s="56" t="n">
        <x:v>45952</x:v>
      </x:c>
      <x:c r="C76" s="61" t="str">
        <x:v>서계동 261-5</x:v>
      </x:c>
      <x:c r="D76" s="61" t="str">
        <x:v>(261-5)</x:v>
      </x:c>
      <x:c r="E76" s="55" t="str">
        <x:v>다세대주택</x:v>
      </x:c>
      <x:c r="F76" s="57" t="n">
        <x:v>94000</x:v>
      </x:c>
      <x:c r="G76" s="58" t="n">
        <x:f>IFERROR(F76/10000,"")</x:f>
        <x:v>9.4</x:v>
      </x:c>
      <x:c r="H76" s="55" t="str">
        <x:v>다세대</x:v>
      </x:c>
      <x:c r="I76" s="59" t="n">
        <x:v>26.448</x:v>
      </x:c>
      <x:c r="J76" s="59" t="n">
        <x:f>IFERROR(I76/3.3058,"")</x:f>
        <x:v>8.000483997822009</x:v>
      </x:c>
      <x:c r="K76" s="57" t="n">
        <x:f>IFERROR(F76/J76,"")</x:f>
        <x:v>11749.289171203873</x:v>
      </x:c>
      <x:c r="L76" s="59" t="n">
        <x:v>54.12</x:v>
      </x:c>
      <x:c r="M76" s="57" t="n">
        <x:f>IFERROR(F76/(L76/3.3),"")</x:f>
        <x:v>5731.707317073171</x:v>
      </x:c>
      <x:c r="N76" s="55" t="str">
        <x:v>3</x:v>
      </x:c>
      <x:c r="O76" s="57" t="n">
        <x:v>49200</x:v>
      </x:c>
      <x:c r="P76" s="60" t="n">
        <x:f>IFERROR(F76/O76-1,"")</x:f>
        <x:v>0.910569105691057</x:v>
      </x:c>
      <x:c r="Q76" s="55" t="n">
        <x:v>2008</x:v>
      </x:c>
      <x:c r="R76" s="55" t="str">
        <x:v>비지하</x:v>
      </x:c>
      <x:c r="S76" s="55" t="str">
        <x:v>중개거래</x:v>
      </x:c>
      <x:c r="T76" s="55" t="str">
        <x:v>서울 용산구</x:v>
      </x:c>
      <x:c r="U76" s="55" t="n">
        <x:v>8516635</x:v>
      </x:c>
      <x:c r="V76" s="55" t="str">
        <x:v>활성</x:v>
      </x:c>
    </x:row>
    <x:row r="77">
      <x:c r="A77" s="55" t="n">
        <x:v>73</x:v>
      </x:c>
      <x:c r="B77" s="56" t="n">
        <x:v>45945</x:v>
      </x:c>
      <x:c r="C77" s="61" t="str">
        <x:v>청파동1가 1-16</x:v>
      </x:c>
      <x:c r="D77" s="61" t="str">
        <x:v>가보주택</x:v>
      </x:c>
      <x:c r="E77" s="55" t="str">
        <x:v>다세대주택</x:v>
      </x:c>
      <x:c r="F77" s="57" t="n">
        <x:v>49500</x:v>
      </x:c>
      <x:c r="G77" s="58" t="n">
        <x:f>IFERROR(F77/10000,"")</x:f>
        <x:v>4.95</x:v>
      </x:c>
      <x:c r="H77" s="55" t="str">
        <x:v>다세대</x:v>
      </x:c>
      <x:c r="I77" s="59" t="n">
        <x:v>15.873</x:v>
      </x:c>
      <x:c r="J77" s="59" t="n">
        <x:f>IFERROR(I77/3.3058,"")</x:f>
        <x:v>4.801560892975981</x:v>
      </x:c>
      <x:c r="K77" s="57" t="n">
        <x:f>IFERROR(F77/J77,"")</x:f>
        <x:v>10309.147609147609</x:v>
      </x:c>
      <x:c r="L77" s="59" t="n">
        <x:v>31.36</x:v>
      </x:c>
      <x:c r="M77" s="57" t="n">
        <x:f>IFERROR(F77/(L77/3.3),"")</x:f>
        <x:v>5208.864795918367</x:v>
      </x:c>
      <x:c r="N77" s="55" t="str">
        <x:v>3</x:v>
      </x:c>
      <x:c r="O77" s="57" t="n">
        <x:v>24900</x:v>
      </x:c>
      <x:c r="P77" s="60" t="n">
        <x:f>IFERROR(F77/O77-1,"")</x:f>
        <x:v>0.9879518072289157</x:v>
      </x:c>
      <x:c r="Q77" s="55" t="n">
        <x:v>1997</x:v>
      </x:c>
      <x:c r="R77" s="55" t="str">
        <x:v>비지하</x:v>
      </x:c>
      <x:c r="S77" s="55" t="str">
        <x:v>중개거래</x:v>
      </x:c>
      <x:c r="T77" s="55" t="str">
        <x:v>서울 용산구</x:v>
      </x:c>
      <x:c r="U77" s="55" t="n">
        <x:v>8516608</x:v>
      </x:c>
      <x:c r="V77" s="55" t="str">
        <x:v>활성</x:v>
      </x:c>
    </x:row>
    <x:row r="78">
      <x:c r="A78" s="55" t="n">
        <x:v>74</x:v>
      </x:c>
      <x:c r="B78" s="56" t="n">
        <x:v>45938</x:v>
      </x:c>
      <x:c r="C78" s="61" t="str">
        <x:v>서계동 33-32</x:v>
      </x:c>
      <x:c r="D78" s="61" t="str">
        <x:v>(33-32)</x:v>
      </x:c>
      <x:c r="E78" s="55" t="str">
        <x:v>다세대주택</x:v>
      </x:c>
      <x:c r="F78" s="57" t="n">
        <x:v>110000</x:v>
      </x:c>
      <x:c r="G78" s="58" t="n">
        <x:f>IFERROR(F78/10000,"")</x:f>
        <x:v>11</x:v>
      </x:c>
      <x:c r="H78" s="55" t="str">
        <x:v>다세대</x:v>
      </x:c>
      <x:c r="I78" s="59" t="n">
        <x:v>41.6767</x:v>
      </x:c>
      <x:c r="J78" s="59" t="n">
        <x:f>IFERROR(I78/3.3058,"")</x:f>
        <x:v>12.607145017847419</x:v>
      </x:c>
      <x:c r="K78" s="57" t="n">
        <x:f>IFERROR(F78/J78,"")</x:f>
        <x:v>8725.210969198617</x:v>
      </x:c>
      <x:c r="L78" s="59" t="n">
        <x:v>54.68</x:v>
      </x:c>
      <x:c r="M78" s="57" t="n">
        <x:f>IFERROR(F78/(L78/3.3),"")</x:f>
        <x:v>6638.624725676664</x:v>
      </x:c>
      <x:c r="N78" s="55" t="str">
        <x:v>2</x:v>
      </x:c>
      <x:c r="O78" s="57" t="n">
        <x:v>68000</x:v>
      </x:c>
      <x:c r="P78" s="60" t="n">
        <x:f>IFERROR(F78/O78-1,"")</x:f>
        <x:v>0.6176470588235294</x:v>
      </x:c>
      <x:c r="Q78" s="55" t="n">
        <x:v>1986</x:v>
      </x:c>
      <x:c r="R78" s="55" t="str">
        <x:v>비지하</x:v>
      </x:c>
      <x:c r="S78" s="55" t="str">
        <x:v>중개거래</x:v>
      </x:c>
      <x:c r="T78" s="55" t="str">
        <x:v>서울 용산구</x:v>
      </x:c>
      <x:c r="U78" s="55" t="n">
        <x:v>8516638</x:v>
      </x:c>
      <x:c r="V78" s="55" t="str">
        <x:v>활성</x:v>
      </x:c>
    </x:row>
    <x:row r="79">
      <x:c r="A79" s="55" t="n">
        <x:v>75</x:v>
      </x:c>
      <x:c r="B79" s="56" t="n">
        <x:v>45931</x:v>
      </x:c>
      <x:c r="C79" s="61" t="str">
        <x:v>서계동 261-17</x:v>
      </x:c>
      <x:c r="D79" s="61" t="str">
        <x:v>하이츠빌라A동(261-17)</x:v>
      </x:c>
      <x:c r="E79" s="55" t="str">
        <x:v>다세대주택</x:v>
      </x:c>
      <x:c r="F79" s="57" t="n">
        <x:v>81000</x:v>
      </x:c>
      <x:c r="G79" s="58" t="n">
        <x:f>IFERROR(F79/10000,"")</x:f>
        <x:v>8.1</x:v>
      </x:c>
      <x:c r="H79" s="55" t="str">
        <x:v>다세대</x:v>
      </x:c>
      <x:c r="I79" s="59" t="n">
        <x:v>26.45</x:v>
      </x:c>
      <x:c r="J79" s="59" t="n">
        <x:f>IFERROR(I79/3.3058,"")</x:f>
        <x:v>8.001088995099522</x:v>
      </x:c>
      <x:c r="K79" s="57" t="n">
        <x:f>IFERROR(F79/J79,"")</x:f>
        <x:v>10123.62192816635</x:v>
      </x:c>
      <x:c r="L79" s="59" t="n">
        <x:v>51.97</x:v>
      </x:c>
      <x:c r="M79" s="57" t="n">
        <x:f>IFERROR(F79/(L79/3.3),"")</x:f>
        <x:v>5143.351933807966</x:v>
      </x:c>
      <x:c r="N79" s="55" t="str">
        <x:v>2</x:v>
      </x:c>
      <x:c r="O79" s="57" t="n">
        <x:v>46800</x:v>
      </x:c>
      <x:c r="P79" s="60" t="n">
        <x:f>IFERROR(F79/O79-1,"")</x:f>
        <x:v>0.7307692307692308</x:v>
      </x:c>
      <x:c r="Q79" s="55" t="n">
        <x:v>2009</x:v>
      </x:c>
      <x:c r="R79" s="55" t="str">
        <x:v>비지하</x:v>
      </x:c>
      <x:c r="S79" s="55" t="str">
        <x:v>중개거래</x:v>
      </x:c>
      <x:c r="T79" s="55" t="str">
        <x:v>서울 용산구</x:v>
      </x:c>
      <x:c r="U79" s="55" t="n">
        <x:v>8516684</x:v>
      </x:c>
      <x:c r="V79" s="55" t="str">
        <x:v>활성</x:v>
      </x:c>
    </x:row>
    <x:row r="80">
      <x:c r="A80" s="55" t="n">
        <x:v>76</x:v>
      </x:c>
      <x:c r="B80" s="56" t="n">
        <x:v>45917</x:v>
      </x:c>
      <x:c r="C80" s="61" t="str">
        <x:v>청파동1가 1-2</x:v>
      </x:c>
      <x:c r="D80" s="61" t="str">
        <x:v>(1-2)</x:v>
      </x:c>
      <x:c r="E80" s="55" t="str">
        <x:v>다세대주택</x:v>
      </x:c>
      <x:c r="F80" s="57" t="n">
        <x:v>90000</x:v>
      </x:c>
      <x:c r="G80" s="58" t="n">
        <x:f>IFERROR(F80/10000,"")</x:f>
        <x:v>9</x:v>
      </x:c>
      <x:c r="H80" s="55" t="str">
        <x:v>다세대</x:v>
      </x:c>
      <x:c r="I80" s="59" t="n">
        <x:v>45.1505</x:v>
      </x:c>
      <x:c r="J80" s="59" t="n">
        <x:f>IFERROR(I80/3.3058,"")</x:f>
        <x:v>13.657964789158449</x:v>
      </x:c>
      <x:c r="K80" s="57" t="n">
        <x:f>IFERROR(F80/J80,"")</x:f>
        <x:v>6589.5615773911695</x:v>
      </x:c>
      <x:c r="L80" s="59" t="n">
        <x:v>54.36</x:v>
      </x:c>
      <x:c r="M80" s="57" t="n">
        <x:f>IFERROR(F80/(L80/3.3),"")</x:f>
        <x:v>5463.576158940397</x:v>
      </x:c>
      <x:c r="N80" s="55" t="str">
        <x:v>2</x:v>
      </x:c>
      <x:c r="O80" s="57" t="n">
        <x:v>50200</x:v>
      </x:c>
      <x:c r="P80" s="60" t="n">
        <x:f>IFERROR(F80/O80-1,"")</x:f>
        <x:v>0.7928286852589641</x:v>
      </x:c>
      <x:c r="Q80" s="55" t="n">
        <x:v>1987</x:v>
      </x:c>
      <x:c r="R80" s="55" t="str">
        <x:v>비지하</x:v>
      </x:c>
      <x:c r="S80" s="55" t="str">
        <x:v>중개거래</x:v>
      </x:c>
      <x:c r="T80" s="55" t="str">
        <x:v>서울 용산구</x:v>
      </x:c>
      <x:c r="U80" s="55" t="n">
        <x:v>8516538</x:v>
      </x:c>
      <x:c r="V80" s="55" t="str">
        <x:v>활성</x:v>
      </x:c>
    </x:row>
    <x:row r="81">
      <x:c r="A81" s="55" t="n">
        <x:v>77</x:v>
      </x:c>
      <x:c r="B81" s="56" t="n">
        <x:v>45908</x:v>
      </x:c>
      <x:c r="C81" s="61" t="str">
        <x:v>서계동 238-23</x:v>
      </x:c>
      <x:c r="D81" s="61" t="str"/>
      <x:c r="E81" s="55" t="str">
        <x:v>단독주택</x:v>
      </x:c>
      <x:c r="F81" s="57" t="n">
        <x:v>163000</x:v>
      </x:c>
      <x:c r="G81" s="58" t="n">
        <x:f>IFERROR(F81/10000,"")</x:f>
        <x:v>16.3</x:v>
      </x:c>
      <x:c r="H81" s="55" t="str">
        <x:v>다가구</x:v>
      </x:c>
      <x:c r="I81" s="59" t="n">
        <x:v>97.9</x:v>
      </x:c>
      <x:c r="J81" s="59" t="n">
        <x:f>IFERROR(I81/3.3058,"")</x:f>
        <x:v>29.614616734224697</x:v>
      </x:c>
      <x:c r="K81" s="57" t="n">
        <x:f>IFERROR(F81/J81,"")</x:f>
        <x:v>5504.038815117467</x:v>
      </x:c>
      <x:c r="L81" s="59" t="n">
        <x:v>149.64</x:v>
      </x:c>
      <x:c r="M81" s="57" t="n">
        <x:f>IFERROR(F81/(L81/3.3),"")</x:f>
        <x:v>3594.6271050521254</x:v>
      </x:c>
      <x:c r="N81" s="55" t="str"/>
      <x:c r="O81" s="57" t="n">
        <x:v>52700</x:v>
      </x:c>
      <x:c r="P81" s="60" t="n">
        <x:f>IFERROR(F81/O81-1,"")</x:f>
        <x:v>2.0929791271347247</x:v>
      </x:c>
      <x:c r="Q81" s="55" t="n">
        <x:v>1993</x:v>
      </x:c>
      <x:c r="R81" s="55" t="str"/>
      <x:c r="S81" s="55" t="str">
        <x:v>중개거래</x:v>
      </x:c>
      <x:c r="T81" s="55" t="str">
        <x:v>서울 용산구, 서울 중구</x:v>
      </x:c>
      <x:c r="U81" s="55" t="n">
        <x:v>7378315</x:v>
      </x:c>
      <x:c r="V81" s="55" t="str">
        <x:v>활성</x:v>
      </x:c>
    </x:row>
    <x:row r="82">
      <x:c r="A82" s="55" t="n">
        <x:v>78</x:v>
      </x:c>
      <x:c r="B82" s="56" t="n">
        <x:v>45896</x:v>
      </x:c>
      <x:c r="C82" s="61" t="str">
        <x:v>서계동 246-34</x:v>
      </x:c>
      <x:c r="D82" s="61" t="str">
        <x:v>(246-34)</x:v>
      </x:c>
      <x:c r="E82" s="55" t="str">
        <x:v>다세대주택</x:v>
      </x:c>
      <x:c r="F82" s="57" t="n">
        <x:v>80000</x:v>
      </x:c>
      <x:c r="G82" s="58" t="n">
        <x:f>IFERROR(F82/10000,"")</x:f>
        <x:v>8</x:v>
      </x:c>
      <x:c r="H82" s="55" t="str">
        <x:v>다세대</x:v>
      </x:c>
      <x:c r="I82" s="59" t="n">
        <x:v>21.125</x:v>
      </x:c>
      <x:c r="J82" s="59" t="n">
        <x:f>IFERROR(I82/3.3058,"")</x:f>
        <x:v>6.390283743723153</x:v>
      </x:c>
      <x:c r="K82" s="57" t="n">
        <x:f>IFERROR(F82/J82,"")</x:f>
        <x:v>12519.005917159762</x:v>
      </x:c>
      <x:c r="L82" s="59" t="n">
        <x:v>54.11</x:v>
      </x:c>
      <x:c r="M82" s="57" t="n">
        <x:f>IFERROR(F82/(L82/3.3),"")</x:f>
        <x:v>4878.95028645352</x:v>
      </x:c>
      <x:c r="N82" s="55" t="str">
        <x:v>2</x:v>
      </x:c>
      <x:c r="O82" s="57" t="n">
        <x:v>36200</x:v>
      </x:c>
      <x:c r="P82" s="60" t="n">
        <x:f>IFERROR(F82/O82-1,"")</x:f>
        <x:v>1.2099447513812156</x:v>
      </x:c>
      <x:c r="Q82" s="55" t="n">
        <x:v>1996</x:v>
      </x:c>
      <x:c r="R82" s="55" t="str">
        <x:v>비지하</x:v>
      </x:c>
      <x:c r="S82" s="55" t="str">
        <x:v>중개거래</x:v>
      </x:c>
      <x:c r="T82" s="55" t="str">
        <x:v>서울 용산구</x:v>
      </x:c>
      <x:c r="U82" s="55" t="n">
        <x:v>8516395</x:v>
      </x:c>
      <x:c r="V82" s="55" t="str">
        <x:v>활성</x:v>
      </x:c>
    </x:row>
    <x:row r="83">
      <x:c r="A83" s="55" t="n">
        <x:v>79</x:v>
      </x:c>
      <x:c r="B83" s="56" t="n">
        <x:v>45890</x:v>
      </x:c>
      <x:c r="C83" s="61" t="str">
        <x:v>청파동1가 1-16</x:v>
      </x:c>
      <x:c r="D83" s="61" t="str">
        <x:v>가보주택</x:v>
      </x:c>
      <x:c r="E83" s="55" t="str">
        <x:v>다세대주택</x:v>
      </x:c>
      <x:c r="F83" s="57" t="n">
        <x:v>49700</x:v>
      </x:c>
      <x:c r="G83" s="58" t="n">
        <x:f>IFERROR(F83/10000,"")</x:f>
        <x:v>4.97</x:v>
      </x:c>
      <x:c r="H83" s="55" t="str">
        <x:v>다세대</x:v>
      </x:c>
      <x:c r="I83" s="59" t="n">
        <x:v>15.873</x:v>
      </x:c>
      <x:c r="J83" s="59" t="n">
        <x:f>IFERROR(I83/3.3058,"")</x:f>
        <x:v>4.801560892975981</x:v>
      </x:c>
      <x:c r="K83" s="57" t="n">
        <x:f>IFERROR(F83/J83,"")</x:f>
        <x:v>10350.80073080073</x:v>
      </x:c>
      <x:c r="L83" s="59" t="n">
        <x:v>31.36</x:v>
      </x:c>
      <x:c r="M83" s="57" t="n">
        <x:f>IFERROR(F83/(L83/3.3),"")</x:f>
        <x:v>5229.910714285714</x:v>
      </x:c>
      <x:c r="N83" s="55" t="str">
        <x:v>2</x:v>
      </x:c>
      <x:c r="O83" s="57" t="n">
        <x:v>24900</x:v>
      </x:c>
      <x:c r="P83" s="60" t="n">
        <x:f>IFERROR(F83/O83-1,"")</x:f>
        <x:v>0.9959839357429718</x:v>
      </x:c>
      <x:c r="Q83" s="55" t="n">
        <x:v>1997</x:v>
      </x:c>
      <x:c r="R83" s="55" t="str">
        <x:v>비지하</x:v>
      </x:c>
      <x:c r="S83" s="55" t="str">
        <x:v>중개거래</x:v>
      </x:c>
      <x:c r="T83" s="55" t="str">
        <x:v>서울 용산구</x:v>
      </x:c>
      <x:c r="U83" s="55" t="n">
        <x:v>8516396</x:v>
      </x:c>
      <x:c r="V83" s="55" t="str">
        <x:v>활성</x:v>
      </x:c>
    </x:row>
    <x:row r="84">
      <x:c r="A84" s="55" t="n">
        <x:v>80</x:v>
      </x:c>
      <x:c r="B84" s="56" t="n">
        <x:v>45880</x:v>
      </x:c>
      <x:c r="C84" s="61" t="str">
        <x:v>서계동 33-64</x:v>
      </x:c>
      <x:c r="D84" s="61" t="str">
        <x:v>퍼스트하우스</x:v>
      </x:c>
      <x:c r="E84" s="55" t="str">
        <x:v>다세대주택</x:v>
      </x:c>
      <x:c r="F84" s="57" t="n">
        <x:v>51000</x:v>
      </x:c>
      <x:c r="G84" s="58" t="n">
        <x:f>IFERROR(F84/10000,"")</x:f>
        <x:v>5.1</x:v>
      </x:c>
      <x:c r="H84" s="55" t="str">
        <x:v>다세대</x:v>
      </x:c>
      <x:c r="I84" s="59" t="n">
        <x:v>20.05</x:v>
      </x:c>
      <x:c r="J84" s="59" t="n">
        <x:f>IFERROR(I84/3.3058,"")</x:f>
        <x:v>6.0650977070603185</x:v>
      </x:c>
      <x:c r="K84" s="57" t="n">
        <x:f>IFERROR(F84/J84,"")</x:f>
        <x:v>8408.768079800499</x:v>
      </x:c>
      <x:c r="L84" s="59" t="n">
        <x:v>29.97</x:v>
      </x:c>
      <x:c r="M84" s="57" t="n">
        <x:f>IFERROR(F84/(L84/3.3),"")</x:f>
        <x:v>5615.615615615616</x:v>
      </x:c>
      <x:c r="N84" s="55" t="str">
        <x:v>3</x:v>
      </x:c>
      <x:c r="O84" s="57" t="n">
        <x:v>45500</x:v>
      </x:c>
      <x:c r="P84" s="60" t="n">
        <x:f>IFERROR(F84/O84-1,"")</x:f>
        <x:v>0.1208791208791209</x:v>
      </x:c>
      <x:c r="Q84" s="55" t="n">
        <x:v>2021</x:v>
      </x:c>
      <x:c r="R84" s="55" t="str">
        <x:v>비지하</x:v>
      </x:c>
      <x:c r="S84" s="55" t="str">
        <x:v>중개거래</x:v>
      </x:c>
      <x:c r="T84" s="55" t="str">
        <x:v>서울 마포구</x:v>
      </x:c>
      <x:c r="U84" s="55" t="n">
        <x:v>8516471</x:v>
      </x:c>
      <x:c r="V84" s="55" t="str">
        <x:v>활성</x:v>
      </x:c>
    </x:row>
    <x:row r="85">
      <x:c r="A85" s="55" t="n">
        <x:v>81</x:v>
      </x:c>
      <x:c r="B85" s="56" t="n">
        <x:v>45878</x:v>
      </x:c>
      <x:c r="C85" s="61" t="str">
        <x:v>서계동 3**</x:v>
      </x:c>
      <x:c r="D85" s="61" t="str"/>
      <x:c r="E85" s="55" t="str">
        <x:v>단독주택</x:v>
      </x:c>
      <x:c r="F85" s="57" t="n">
        <x:v>73500</x:v>
      </x:c>
      <x:c r="G85" s="58" t="n">
        <x:f>IFERROR(F85/10000,"")</x:f>
        <x:v>7.35</x:v>
      </x:c>
      <x:c r="H85" s="55" t="str">
        <x:v>단독</x:v>
      </x:c>
      <x:c r="I85" s="59" t="n">
        <x:v>49.6</x:v>
      </x:c>
      <x:c r="J85" s="59" t="n">
        <x:f>IFERROR(I85/3.3058,"")</x:f>
        <x:v>15.00393248230383</x:v>
      </x:c>
      <x:c r="K85" s="57" t="n">
        <x:f>IFERROR(F85/J85,"")</x:f>
        <x:v>4898.715725806452</x:v>
      </x:c>
      <x:c r="L85" s="59" t="n">
        <x:v>49.58</x:v>
      </x:c>
      <x:c r="M85" s="57" t="n">
        <x:f>IFERROR(F85/(L85/3.3),"")</x:f>
        <x:v>4892.093586123437</x:v>
      </x:c>
      <x:c r="N85" s="55" t="str"/>
      <x:c r="O85" s="57"/>
      <x:c r="P85" s="60" t="str">
        <x:f>IFERROR(F85/O85-1,"")</x:f>
      </x:c>
      <x:c r="Q85" s="55" t="n">
        <x:v>1960</x:v>
      </x:c>
      <x:c r="R85" s="55" t="str"/>
      <x:c r="S85" s="55" t="str">
        <x:v>중개거래</x:v>
      </x:c>
      <x:c r="T85" s="55" t="str">
        <x:v>서울 마포구, 서울 용산구</x:v>
      </x:c>
      <x:c r="U85" s="55" t="n">
        <x:v>6263163</x:v>
      </x:c>
      <x:c r="V85" s="55" t="str">
        <x:v>활성</x:v>
      </x:c>
    </x:row>
    <x:row r="86">
      <x:c r="A86" s="55" t="n">
        <x:v>82</x:v>
      </x:c>
      <x:c r="B86" s="56" t="n">
        <x:v>45862</x:v>
      </x:c>
      <x:c r="C86" s="61" t="str">
        <x:v>서계동 257-1</x:v>
      </x:c>
      <x:c r="D86" s="61" t="str">
        <x:v>(257-1)</x:v>
      </x:c>
      <x:c r="E86" s="55" t="str">
        <x:v>다세대주택</x:v>
      </x:c>
      <x:c r="F86" s="57" t="n">
        <x:v>67000</x:v>
      </x:c>
      <x:c r="G86" s="58" t="n">
        <x:f>IFERROR(F86/10000,"")</x:f>
        <x:v>6.7</x:v>
      </x:c>
      <x:c r="H86" s="55" t="str">
        <x:v>다세대</x:v>
      </x:c>
      <x:c r="I86" s="59" t="n">
        <x:v>14</x:v>
      </x:c>
      <x:c r="J86" s="59" t="n">
        <x:f>IFERROR(I86/3.3058,"")</x:f>
        <x:v>4.234980942585758</x:v>
      </x:c>
      <x:c r="K86" s="57" t="n">
        <x:f>IFERROR(F86/J86,"")</x:f>
        <x:v>15820.614285714286</x:v>
      </x:c>
      <x:c r="L86" s="59" t="n">
        <x:v>49.01</x:v>
      </x:c>
      <x:c r="M86" s="57" t="n">
        <x:f>IFERROR(F86/(L86/3.3),"")</x:f>
        <x:v>4511.324219547031</x:v>
      </x:c>
      <x:c r="N86" s="55" t="str">
        <x:v>4</x:v>
      </x:c>
      <x:c r="O86" s="57" t="n">
        <x:v>24600</x:v>
      </x:c>
      <x:c r="P86" s="60" t="n">
        <x:f>IFERROR(F86/O86-1,"")</x:f>
        <x:v>1.7235772357723578</x:v>
      </x:c>
      <x:c r="Q86" s="55" t="n">
        <x:v>1998</x:v>
      </x:c>
      <x:c r="R86" s="55" t="str">
        <x:v>비지하</x:v>
      </x:c>
      <x:c r="S86" s="55" t="str">
        <x:v>중개거래</x:v>
      </x:c>
      <x:c r="T86" s="55" t="str">
        <x:v>서울 용산구</x:v>
      </x:c>
      <x:c r="U86" s="55" t="n">
        <x:v>8516345</x:v>
      </x:c>
      <x:c r="V86" s="55" t="str">
        <x:v>활성</x:v>
      </x:c>
    </x:row>
    <x:row r="87">
      <x:c r="A87" s="55" t="n">
        <x:v>83</x:v>
      </x:c>
      <x:c r="B87" s="56" t="n">
        <x:v>45862</x:v>
      </x:c>
      <x:c r="C87" s="61" t="str">
        <x:v>서계동 252-9</x:v>
      </x:c>
      <x:c r="D87" s="61" t="str"/>
      <x:c r="E87" s="55" t="str">
        <x:v>단독주택</x:v>
      </x:c>
      <x:c r="F87" s="57" t="n">
        <x:v>96000</x:v>
      </x:c>
      <x:c r="G87" s="58" t="n">
        <x:f>IFERROR(F87/10000,"")</x:f>
        <x:v>9.6</x:v>
      </x:c>
      <x:c r="H87" s="55" t="str">
        <x:v>다가구</x:v>
      </x:c>
      <x:c r="I87" s="59" t="n">
        <x:v>59.5</x:v>
      </x:c>
      <x:c r="J87" s="59" t="n">
        <x:f>IFERROR(I87/3.3058,"")</x:f>
        <x:v>17.998669005989473</x:v>
      </x:c>
      <x:c r="K87" s="57" t="n">
        <x:f>IFERROR(F87/J87,"")</x:f>
        <x:v>5333.727731092436</x:v>
      </x:c>
      <x:c r="L87" s="59" t="n">
        <x:v>103.84</x:v>
      </x:c>
      <x:c r="M87" s="57" t="n">
        <x:f>IFERROR(F87/(L87/3.3),"")</x:f>
        <x:v>3050.8474576271183</x:v>
      </x:c>
      <x:c r="N87" s="55" t="str"/>
      <x:c r="O87" s="57" t="n">
        <x:v>33100</x:v>
      </x:c>
      <x:c r="P87" s="60" t="n">
        <x:f>IFERROR(F87/O87-1,"")</x:f>
        <x:v>1.9003021148036252</x:v>
      </x:c>
      <x:c r="Q87" s="55" t="n">
        <x:v>1993</x:v>
      </x:c>
      <x:c r="R87" s="55" t="str"/>
      <x:c r="S87" s="55" t="str">
        <x:v>중개거래</x:v>
      </x:c>
      <x:c r="T87" s="55" t="str">
        <x:v>서울 마포구, 서울 용산구</x:v>
      </x:c>
      <x:c r="U87" s="55" t="n">
        <x:v>3454675</x:v>
      </x:c>
      <x:c r="V87" s="55" t="str">
        <x:v>활성</x:v>
      </x:c>
    </x:row>
    <x:row r="88">
      <x:c r="A88" s="55" t="n">
        <x:v>84</x:v>
      </x:c>
      <x:c r="B88" s="56" t="n">
        <x:v>45859</x:v>
      </x:c>
      <x:c r="C88" s="61" t="str">
        <x:v>서계동 33-6</x:v>
      </x:c>
      <x:c r="D88" s="61" t="str">
        <x:v>(33-6)</x:v>
      </x:c>
      <x:c r="E88" s="55" t="str">
        <x:v>다세대주택</x:v>
      </x:c>
      <x:c r="F88" s="57" t="n">
        <x:v>85000</x:v>
      </x:c>
      <x:c r="G88" s="58" t="n">
        <x:f>IFERROR(F88/10000,"")</x:f>
        <x:v>8.5</x:v>
      </x:c>
      <x:c r="H88" s="55" t="str">
        <x:v>다세대</x:v>
      </x:c>
      <x:c r="I88" s="59" t="n">
        <x:v>44.49</x:v>
      </x:c>
      <x:c r="J88" s="59" t="n">
        <x:f>IFERROR(I88/3.3058,"")</x:f>
        <x:v>13.458164438260027</x:v>
      </x:c>
      <x:c r="K88" s="57" t="n">
        <x:f>IFERROR(F88/J88,"")</x:f>
        <x:v>6315.86873454709</x:v>
      </x:c>
      <x:c r="L88" s="59" t="n">
        <x:v>41.1</x:v>
      </x:c>
      <x:c r="M88" s="57" t="n">
        <x:f>IFERROR(F88/(L88/3.3),"")</x:f>
        <x:v>6824.817518248175</x:v>
      </x:c>
      <x:c r="N88" s="55" t="str">
        <x:v>-1</x:v>
      </x:c>
      <x:c r="O88" s="57" t="n">
        <x:v>49500</x:v>
      </x:c>
      <x:c r="P88" s="60" t="n">
        <x:f>IFERROR(F88/O88-1,"")</x:f>
        <x:v>0.7171717171717171</x:v>
      </x:c>
      <x:c r="Q88" s="55" t="n">
        <x:v>1986</x:v>
      </x:c>
      <x:c r="R88" s="55" t="str">
        <x:v>지하</x:v>
      </x:c>
      <x:c r="S88" s="55" t="str">
        <x:v>중개거래</x:v>
      </x:c>
      <x:c r="T88" s="55" t="str">
        <x:v>서울 성동구, 서울 용산구</x:v>
      </x:c>
      <x:c r="U88" s="55" t="n">
        <x:v>8516348</x:v>
      </x:c>
      <x:c r="V88" s="55" t="str">
        <x:v>활성</x:v>
      </x:c>
    </x:row>
    <x:row r="89">
      <x:c r="A89" s="55" t="n">
        <x:v>85</x:v>
      </x:c>
      <x:c r="B89" s="56" t="n">
        <x:v>45857</x:v>
      </x:c>
      <x:c r="C89" s="61" t="str">
        <x:v>청파동1가 1-55</x:v>
      </x:c>
      <x:c r="D89" s="61" t="str">
        <x:v>동진빌라</x:v>
      </x:c>
      <x:c r="E89" s="55" t="str">
        <x:v>다세대주택</x:v>
      </x:c>
      <x:c r="F89" s="57" t="n">
        <x:v>82000</x:v>
      </x:c>
      <x:c r="G89" s="58" t="n">
        <x:f>IFERROR(F89/10000,"")</x:f>
        <x:v>8.2</x:v>
      </x:c>
      <x:c r="H89" s="55" t="str">
        <x:v>연립</x:v>
      </x:c>
      <x:c r="I89" s="59" t="n">
        <x:v>37.36</x:v>
      </x:c>
      <x:c r="J89" s="59" t="n">
        <x:f>IFERROR(I89/3.3058,"")</x:f>
        <x:v>11.301349143928851</x:v>
      </x:c>
      <x:c r="K89" s="57" t="n">
        <x:f>IFERROR(F89/J89,"")</x:f>
        <x:v>7255.7708779443265</x:v>
      </x:c>
      <x:c r="L89" s="59" t="n">
        <x:v>70.05</x:v>
      </x:c>
      <x:c r="M89" s="57" t="n">
        <x:f>IFERROR(F89/(L89/3.3),"")</x:f>
        <x:v>3862.9550321199144</x:v>
      </x:c>
      <x:c r="N89" s="55" t="str">
        <x:v>-1</x:v>
      </x:c>
      <x:c r="O89" s="57" t="n">
        <x:v>26000</x:v>
      </x:c>
      <x:c r="P89" s="60" t="n">
        <x:f>IFERROR(F89/O89-1,"")</x:f>
        <x:v>2.1538461538461537</x:v>
      </x:c>
      <x:c r="Q89" s="55" t="n">
        <x:v>1995</x:v>
      </x:c>
      <x:c r="R89" s="55" t="str">
        <x:v>지하</x:v>
      </x:c>
      <x:c r="S89" s="55" t="str">
        <x:v>중개거래</x:v>
      </x:c>
      <x:c r="T89" s="55" t="str">
        <x:v>서울 용산구</x:v>
      </x:c>
      <x:c r="U89" s="55" t="n">
        <x:v>8516322</x:v>
      </x:c>
      <x:c r="V89" s="55" t="str">
        <x:v>활성</x:v>
      </x:c>
    </x:row>
    <x:row r="90">
      <x:c r="A90" s="55" t="n">
        <x:v>86</x:v>
      </x:c>
      <x:c r="B90" s="56" t="n">
        <x:v>45854</x:v>
      </x:c>
      <x:c r="C90" s="61" t="str">
        <x:v>서계동 240-16</x:v>
      </x:c>
      <x:c r="D90" s="61" t="str">
        <x:v>(240-16)</x:v>
      </x:c>
      <x:c r="E90" s="55" t="str">
        <x:v>다세대주택</x:v>
      </x:c>
      <x:c r="F90" s="57" t="n">
        <x:v>80500</x:v>
      </x:c>
      <x:c r="G90" s="58" t="n">
        <x:f>IFERROR(F90/10000,"")</x:f>
        <x:v>8.05</x:v>
      </x:c>
      <x:c r="H90" s="55" t="str">
        <x:v>다세대</x:v>
      </x:c>
      <x:c r="I90" s="59" t="n">
        <x:v>19.02</x:v>
      </x:c>
      <x:c r="J90" s="59" t="n">
        <x:f>IFERROR(I90/3.3058,"")</x:f>
        <x:v>5.753524109141509</x:v>
      </x:c>
      <x:c r="K90" s="57" t="n">
        <x:f>IFERROR(F90/J90,"")</x:f>
        <x:v>13991.424815983175</x:v>
      </x:c>
      <x:c r="L90" s="59" t="n">
        <x:v>45.81</x:v>
      </x:c>
      <x:c r="M90" s="57" t="n">
        <x:f>IFERROR(F90/(L90/3.3),"")</x:f>
        <x:v>5798.9521938441385</x:v>
      </x:c>
      <x:c r="N90" s="55" t="str">
        <x:v>2</x:v>
      </x:c>
      <x:c r="O90" s="57" t="n">
        <x:v>32800</x:v>
      </x:c>
      <x:c r="P90" s="60" t="n">
        <x:f>IFERROR(F90/O90-1,"")</x:f>
        <x:v>1.4542682926829267</x:v>
      </x:c>
      <x:c r="Q90" s="55" t="n">
        <x:v>1997</x:v>
      </x:c>
      <x:c r="R90" s="55" t="str">
        <x:v>비지하</x:v>
      </x:c>
      <x:c r="S90" s="55" t="str">
        <x:v>중개거래</x:v>
      </x:c>
      <x:c r="T90" s="55" t="str">
        <x:v>서울 용산구</x:v>
      </x:c>
      <x:c r="U90" s="55" t="n">
        <x:v>8516359</x:v>
      </x:c>
      <x:c r="V90" s="55" t="str">
        <x:v>활성</x:v>
      </x:c>
    </x:row>
    <x:row r="91">
      <x:c r="A91" s="55" t="n">
        <x:v>87</x:v>
      </x:c>
      <x:c r="B91" s="56" t="n">
        <x:v>45853</x:v>
      </x:c>
      <x:c r="C91" s="61" t="str">
        <x:v>서계동 241-8</x:v>
      </x:c>
      <x:c r="D91" s="61" t="str">
        <x:v>(241-8)</x:v>
      </x:c>
      <x:c r="E91" s="55" t="str">
        <x:v>다세대주택</x:v>
      </x:c>
      <x:c r="F91" s="57" t="n">
        <x:v>73000</x:v>
      </x:c>
      <x:c r="G91" s="58" t="n">
        <x:f>IFERROR(F91/10000,"")</x:f>
        <x:v>7.3</x:v>
      </x:c>
      <x:c r="H91" s="55" t="str">
        <x:v>다세대</x:v>
      </x:c>
      <x:c r="I91" s="59" t="n">
        <x:v>16.86</x:v>
      </x:c>
      <x:c r="J91" s="59" t="n">
        <x:f>IFERROR(I91/3.3058,"")</x:f>
        <x:v>5.100127049428277</x:v>
      </x:c>
      <x:c r="K91" s="57" t="n">
        <x:f>IFERROR(F91/J91,"")</x:f>
        <x:v>14313.368920521947</x:v>
      </x:c>
      <x:c r="L91" s="59" t="n">
        <x:v>20.3</x:v>
      </x:c>
      <x:c r="M91" s="57" t="n">
        <x:f>IFERROR(F91/(L91/3.3),"")</x:f>
        <x:v>11866.995073891625</x:v>
      </x:c>
      <x:c r="N91" s="55" t="str">
        <x:v>3</x:v>
      </x:c>
      <x:c r="O91" s="57" t="n">
        <x:v>32800</x:v>
      </x:c>
      <x:c r="P91" s="60" t="n">
        <x:f>IFERROR(F91/O91-1,"")</x:f>
        <x:v>1.225609756097561</x:v>
      </x:c>
      <x:c r="Q91" s="55" t="n">
        <x:v>2021</x:v>
      </x:c>
      <x:c r="R91" s="55" t="str">
        <x:v>비지하</x:v>
      </x:c>
      <x:c r="S91" s="55" t="str">
        <x:v>중개거래</x:v>
      </x:c>
      <x:c r="T91" s="55" t="str">
        <x:v>서울 용산구</x:v>
      </x:c>
      <x:c r="U91" s="55" t="n">
        <x:v>8516336</x:v>
      </x:c>
      <x:c r="V91" s="55" t="str">
        <x:v>활성</x:v>
      </x:c>
    </x:row>
    <x:row r="92">
      <x:c r="A92" s="55" t="n">
        <x:v>88</x:v>
      </x:c>
      <x:c r="B92" s="56" t="n">
        <x:v>45850</x:v>
      </x:c>
      <x:c r="C92" s="61" t="str">
        <x:v>청파동1가 1-80</x:v>
      </x:c>
      <x:c r="D92" s="61" t="str">
        <x:v>청파블루빌</x:v>
      </x:c>
      <x:c r="E92" s="55" t="str">
        <x:v>다세대주택</x:v>
      </x:c>
      <x:c r="F92" s="57" t="n">
        <x:v>92000</x:v>
      </x:c>
      <x:c r="G92" s="58" t="n">
        <x:f>IFERROR(F92/10000,"")</x:f>
        <x:v>9.2</x:v>
      </x:c>
      <x:c r="H92" s="55" t="str">
        <x:v>다세대</x:v>
      </x:c>
      <x:c r="I92" s="59" t="n">
        <x:v>31.39</x:v>
      </x:c>
      <x:c r="J92" s="59" t="n">
        <x:f>IFERROR(I92/3.3058,"")</x:f>
        <x:v>9.495432270554783</x:v>
      </x:c>
      <x:c r="K92" s="57" t="n">
        <x:f>IFERROR(F92/J92,"")</x:f>
        <x:v>9688.869066581714</x:v>
      </x:c>
      <x:c r="L92" s="59" t="n">
        <x:v>52.19</x:v>
      </x:c>
      <x:c r="M92" s="57" t="n">
        <x:f>IFERROR(F92/(L92/3.3),"")</x:f>
        <x:v>5817.20636137191</x:v>
      </x:c>
      <x:c r="N92" s="55" t="str">
        <x:v>2</x:v>
      </x:c>
      <x:c r="O92" s="57" t="n">
        <x:v>54300</x:v>
      </x:c>
      <x:c r="P92" s="60" t="n">
        <x:f>IFERROR(F92/O92-1,"")</x:f>
        <x:v>0.6942909760589318</x:v>
      </x:c>
      <x:c r="Q92" s="55" t="n">
        <x:v>2008</x:v>
      </x:c>
      <x:c r="R92" s="55" t="str">
        <x:v>비지하</x:v>
      </x:c>
      <x:c r="S92" s="55" t="str">
        <x:v>중개거래</x:v>
      </x:c>
      <x:c r="T92" s="55" t="str">
        <x:v>서울 용산구</x:v>
      </x:c>
      <x:c r="U92" s="55" t="n">
        <x:v>8516355</x:v>
      </x:c>
      <x:c r="V92" s="55" t="str">
        <x:v>활성</x:v>
      </x:c>
    </x:row>
    <x:row r="93">
      <x:c r="A93" s="55" t="n">
        <x:v>89</x:v>
      </x:c>
      <x:c r="B93" s="56" t="n">
        <x:v>45841</x:v>
      </x:c>
      <x:c r="C93" s="61" t="str">
        <x:v>서계동 252-23</x:v>
      </x:c>
      <x:c r="D93" s="61" t="str"/>
      <x:c r="E93" s="55" t="str">
        <x:v>단독주택</x:v>
      </x:c>
      <x:c r="F93" s="57" t="n">
        <x:v>75000</x:v>
      </x:c>
      <x:c r="G93" s="58" t="n">
        <x:f>IFERROR(F93/10000,"")</x:f>
        <x:v>7.5</x:v>
      </x:c>
      <x:c r="H93" s="55" t="str">
        <x:v>다가구</x:v>
      </x:c>
      <x:c r="I93" s="59" t="n">
        <x:v>49.9</x:v>
      </x:c>
      <x:c r="J93" s="59" t="n">
        <x:f>IFERROR(I93/3.3058,"")</x:f>
        <x:v>15.094682073930667</x:v>
      </x:c>
      <x:c r="K93" s="57" t="n">
        <x:f>IFERROR(F93/J93,"")</x:f>
        <x:v>4968.637274549098</x:v>
      </x:c>
      <x:c r="L93" s="59" t="n">
        <x:v>85.44</x:v>
      </x:c>
      <x:c r="M93" s="57" t="n">
        <x:f>IFERROR(F93/(L93/3.3),"")</x:f>
        <x:v>2896.7696629213483</x:v>
      </x:c>
      <x:c r="N93" s="55" t="str"/>
      <x:c r="O93" s="57" t="n">
        <x:v>24800</x:v>
      </x:c>
      <x:c r="P93" s="60" t="n">
        <x:f>IFERROR(F93/O93-1,"")</x:f>
        <x:v>2.024193548387097</x:v>
      </x:c>
      <x:c r="Q93" s="55" t="n">
        <x:v>1994</x:v>
      </x:c>
      <x:c r="R93" s="55" t="str"/>
      <x:c r="S93" s="55" t="str">
        <x:v>중개거래</x:v>
      </x:c>
      <x:c r="T93" s="55" t="str">
        <x:v>서울 마포구, 서울 용산구</x:v>
      </x:c>
      <x:c r="U93" s="55" t="n">
        <x:v>3454722</x:v>
      </x:c>
      <x:c r="V93" s="55" t="str">
        <x:v>활성</x:v>
      </x:c>
    </x:row>
    <x:row r="94">
      <x:c r="A94" s="55" t="n">
        <x:v>90</x:v>
      </x:c>
      <x:c r="B94" s="56" t="n">
        <x:v>45836</x:v>
      </x:c>
      <x:c r="C94" s="61" t="str">
        <x:v>청파동1가 1-16</x:v>
      </x:c>
      <x:c r="D94" s="61" t="str">
        <x:v>가보주택</x:v>
      </x:c>
      <x:c r="E94" s="55" t="str">
        <x:v>다세대주택</x:v>
      </x:c>
      <x:c r="F94" s="57" t="n">
        <x:v>49500</x:v>
      </x:c>
      <x:c r="G94" s="58" t="n">
        <x:f>IFERROR(F94/10000,"")</x:f>
        <x:v>4.95</x:v>
      </x:c>
      <x:c r="H94" s="55" t="str">
        <x:v>다세대</x:v>
      </x:c>
      <x:c r="I94" s="59" t="n">
        <x:v>14.028</x:v>
      </x:c>
      <x:c r="J94" s="59" t="n">
        <x:f>IFERROR(I94/3.3058,"")</x:f>
        <x:v>4.24345090447093</x:v>
      </x:c>
      <x:c r="K94" s="57" t="n">
        <x:f>IFERROR(F94/J94,"")</x:f>
        <x:v>11665.034217279725</x:v>
      </x:c>
      <x:c r="L94" s="59" t="n">
        <x:v>27.72</x:v>
      </x:c>
      <x:c r="M94" s="57" t="n">
        <x:f>IFERROR(F94/(L94/3.3),"")</x:f>
        <x:v>5892.857142857142</x:v>
      </x:c>
      <x:c r="N94" s="55" t="str">
        <x:v>1</x:v>
      </x:c>
      <x:c r="O94" s="57" t="n">
        <x:v>21900</x:v>
      </x:c>
      <x:c r="P94" s="60" t="n">
        <x:f>IFERROR(F94/O94-1,"")</x:f>
        <x:v>1.2602739726027399</x:v>
      </x:c>
      <x:c r="Q94" s="55" t="n">
        <x:v>1997</x:v>
      </x:c>
      <x:c r="R94" s="55" t="str">
        <x:v>비지하</x:v>
      </x:c>
      <x:c r="S94" s="55" t="str">
        <x:v>중개거래</x:v>
      </x:c>
      <x:c r="T94" s="55" t="str">
        <x:v>서울 용산구</x:v>
      </x:c>
      <x:c r="U94" s="55" t="n">
        <x:v>8516135</x:v>
      </x:c>
      <x:c r="V94" s="55" t="str">
        <x:v>활성</x:v>
      </x:c>
    </x:row>
    <x:row r="95">
      <x:c r="A95" s="55" t="n">
        <x:v>91</x:v>
      </x:c>
      <x:c r="B95" s="56" t="n">
        <x:v>45835</x:v>
      </x:c>
      <x:c r="C95" s="61" t="str">
        <x:v>청파동1가 1-210</x:v>
      </x:c>
      <x:c r="D95" s="61" t="str">
        <x:v>(1-210)</x:v>
      </x:c>
      <x:c r="E95" s="55" t="str">
        <x:v>다세대주택</x:v>
      </x:c>
      <x:c r="F95" s="57" t="n">
        <x:v>90000</x:v>
      </x:c>
      <x:c r="G95" s="58" t="n">
        <x:f>IFERROR(F95/10000,"")</x:f>
        <x:v>9</x:v>
      </x:c>
      <x:c r="H95" s="55" t="str">
        <x:v>연립</x:v>
      </x:c>
      <x:c r="I95" s="59" t="n">
        <x:v>40.12</x:v>
      </x:c>
      <x:c r="J95" s="59" t="n">
        <x:f>IFERROR(I95/3.3058,"")</x:f>
        <x:v>12.136245386895759</x:v>
      </x:c>
      <x:c r="K95" s="57" t="n">
        <x:f>IFERROR(F95/J95,"")</x:f>
        <x:v>7415.80259222333</x:v>
      </x:c>
      <x:c r="L95" s="59" t="n">
        <x:v>59.49</x:v>
      </x:c>
      <x:c r="M95" s="57" t="n">
        <x:f>IFERROR(F95/(L95/3.3),"")</x:f>
        <x:v>4992.435703479577</x:v>
      </x:c>
      <x:c r="N95" s="55" t="str">
        <x:v>3</x:v>
      </x:c>
      <x:c r="O95" s="57" t="n">
        <x:v>50300</x:v>
      </x:c>
      <x:c r="P95" s="60" t="n">
        <x:f>IFERROR(F95/O95-1,"")</x:f>
        <x:v>0.7892644135188867</x:v>
      </x:c>
      <x:c r="Q95" s="55" t="n">
        <x:v>1995</x:v>
      </x:c>
      <x:c r="R95" s="55" t="str">
        <x:v>비지하</x:v>
      </x:c>
      <x:c r="S95" s="55" t="str">
        <x:v>중개거래</x:v>
      </x:c>
      <x:c r="T95" s="55" t="str">
        <x:v>서울 용산구</x:v>
      </x:c>
      <x:c r="U95" s="55" t="n">
        <x:v>8516205</x:v>
      </x:c>
      <x:c r="V95" s="55" t="str">
        <x:v>활성</x:v>
      </x:c>
    </x:row>
    <x:row r="96">
      <x:c r="A96" s="55" t="n">
        <x:v>92</x:v>
      </x:c>
      <x:c r="B96" s="56" t="n">
        <x:v>45835</x:v>
      </x:c>
      <x:c r="C96" s="61" t="str">
        <x:v>서계동 95-17</x:v>
      </x:c>
      <x:c r="D96" s="61" t="str"/>
      <x:c r="E96" s="55" t="str">
        <x:v>단독주택</x:v>
      </x:c>
      <x:c r="F96" s="57" t="n">
        <x:v>79000</x:v>
      </x:c>
      <x:c r="G96" s="58" t="n">
        <x:f>IFERROR(F96/10000,"")</x:f>
        <x:v>7.9</x:v>
      </x:c>
      <x:c r="H96" s="55" t="str">
        <x:v>단독</x:v>
      </x:c>
      <x:c r="I96" s="59" t="n">
        <x:v>60.8</x:v>
      </x:c>
      <x:c r="J96" s="59" t="n">
        <x:f>IFERROR(I96/3.3058,"")</x:f>
        <x:v>18.391917236372436</x:v>
      </x:c>
      <x:c r="K96" s="57" t="n">
        <x:f>IFERROR(F96/J96,"")</x:f>
        <x:v>4295.3651315789475</x:v>
      </x:c>
      <x:c r="L96" s="59" t="n">
        <x:v>25.72</x:v>
      </x:c>
      <x:c r="M96" s="57" t="n">
        <x:f>IFERROR(F96/(L96/3.3),"")</x:f>
        <x:v>10136.080870917574</x:v>
      </x:c>
      <x:c r="N96" s="55" t="str"/>
      <x:c r="O96" s="57" t="n">
        <x:v>32400</x:v>
      </x:c>
      <x:c r="P96" s="60" t="n">
        <x:f>IFERROR(F96/O96-1,"")</x:f>
        <x:v>1.4382716049382718</x:v>
      </x:c>
      <x:c r="Q96" s="55" t="n">
        <x:v>1946</x:v>
      </x:c>
      <x:c r="R96" s="55" t="str"/>
      <x:c r="S96" s="55" t="str">
        <x:v>중개거래</x:v>
      </x:c>
      <x:c r="T96" s="55" t="str">
        <x:v>서울 용산구</x:v>
      </x:c>
      <x:c r="U96" s="55" t="n">
        <x:v>3303758</x:v>
      </x:c>
      <x:c r="V96" s="55" t="str">
        <x:v>활성</x:v>
      </x:c>
    </x:row>
    <x:row r="97">
      <x:c r="A97" s="55" t="n">
        <x:v>93</x:v>
      </x:c>
      <x:c r="B97" s="56" t="n">
        <x:v>45834</x:v>
      </x:c>
      <x:c r="C97" s="61" t="str">
        <x:v>서계동 251-17</x:v>
      </x:c>
      <x:c r="D97" s="61" t="str">
        <x:v>광성빌라</x:v>
      </x:c>
      <x:c r="E97" s="55" t="str">
        <x:v>다세대주택</x:v>
      </x:c>
      <x:c r="F97" s="57" t="n">
        <x:v>80000</x:v>
      </x:c>
      <x:c r="G97" s="58" t="n">
        <x:f>IFERROR(F97/10000,"")</x:f>
        <x:v>8</x:v>
      </x:c>
      <x:c r="H97" s="55" t="str">
        <x:v>다세대</x:v>
      </x:c>
      <x:c r="I97" s="59" t="n">
        <x:v>26.8</x:v>
      </x:c>
      <x:c r="J97" s="59" t="n">
        <x:f>IFERROR(I97/3.3058,"")</x:f>
        <x:v>8.106963518664166</x:v>
      </x:c>
      <x:c r="K97" s="57" t="n">
        <x:f>IFERROR(F97/J97,"")</x:f>
        <x:v>9868.059701492537</x:v>
      </x:c>
      <x:c r="L97" s="59" t="n">
        <x:v>54.69</x:v>
      </x:c>
      <x:c r="M97" s="57" t="n">
        <x:f>IFERROR(F97/(L97/3.3),"")</x:f>
        <x:v>4827.207899067471</x:v>
      </x:c>
      <x:c r="N97" s="55" t="str">
        <x:v>1</x:v>
      </x:c>
      <x:c r="O97" s="57" t="n">
        <x:v>39100</x:v>
      </x:c>
      <x:c r="P97" s="60" t="n">
        <x:f>IFERROR(F97/O97-1,"")</x:f>
        <x:v>1.0460358056265986</x:v>
      </x:c>
      <x:c r="Q97" s="55" t="n">
        <x:v>1996</x:v>
      </x:c>
      <x:c r="R97" s="55" t="str">
        <x:v>비지하</x:v>
      </x:c>
      <x:c r="S97" s="55" t="str">
        <x:v>중개거래</x:v>
      </x:c>
      <x:c r="T97" s="55" t="str">
        <x:v>서울 용산구</x:v>
      </x:c>
      <x:c r="U97" s="55" t="n">
        <x:v>8516225</x:v>
      </x:c>
      <x:c r="V97" s="55" t="str">
        <x:v>활성</x:v>
      </x:c>
    </x:row>
    <x:row r="98">
      <x:c r="A98" s="55" t="n">
        <x:v>94</x:v>
      </x:c>
      <x:c r="B98" s="56" t="n">
        <x:v>45834</x:v>
      </x:c>
      <x:c r="C98" s="61" t="str">
        <x:v>서계동 251-10</x:v>
      </x:c>
      <x:c r="D98" s="61" t="str">
        <x:v>(251-10)</x:v>
      </x:c>
      <x:c r="E98" s="55" t="str">
        <x:v>다세대주택</x:v>
      </x:c>
      <x:c r="F98" s="57" t="n">
        <x:v>55000</x:v>
      </x:c>
      <x:c r="G98" s="58" t="n">
        <x:f>IFERROR(F98/10000,"")</x:f>
        <x:v>5.5</x:v>
      </x:c>
      <x:c r="H98" s="55" t="str">
        <x:v>다세대</x:v>
      </x:c>
      <x:c r="I98" s="59" t="n">
        <x:v>11.24</x:v>
      </x:c>
      <x:c r="J98" s="59" t="n">
        <x:f>IFERROR(I98/3.3058,"")</x:f>
        <x:v>3.400084699618852</x:v>
      </x:c>
      <x:c r="K98" s="57" t="n">
        <x:f>IFERROR(F98/J98,"")</x:f>
        <x:v>16176.067615658363</x:v>
      </x:c>
      <x:c r="L98" s="59" t="n">
        <x:v>24.33</x:v>
      </x:c>
      <x:c r="M98" s="57" t="n">
        <x:f>IFERROR(F98/(L98/3.3),"")</x:f>
        <x:v>7459.926017262638</x:v>
      </x:c>
      <x:c r="N98" s="55" t="str">
        <x:v>2</x:v>
      </x:c>
      <x:c r="O98" s="57" t="n">
        <x:v>19200</x:v>
      </x:c>
      <x:c r="P98" s="60" t="n">
        <x:f>IFERROR(F98/O98-1,"")</x:f>
        <x:v>1.8645833333333335</x:v>
      </x:c>
      <x:c r="Q98" s="55" t="n">
        <x:v>1996</x:v>
      </x:c>
      <x:c r="R98" s="55" t="str">
        <x:v>비지하</x:v>
      </x:c>
      <x:c r="S98" s="55" t="str">
        <x:v>중개거래</x:v>
      </x:c>
      <x:c r="T98" s="55" t="str">
        <x:v>서울 용산구</x:v>
      </x:c>
      <x:c r="U98" s="55" t="n">
        <x:v>8516217</x:v>
      </x:c>
      <x:c r="V98" s="55" t="str">
        <x:v>활성</x:v>
      </x:c>
    </x:row>
    <x:row r="99">
      <x:c r="A99" s="55" t="n">
        <x:v>95</x:v>
      </x:c>
      <x:c r="B99" s="56" t="n">
        <x:v>45833</x:v>
      </x:c>
      <x:c r="C99" s="61" t="str">
        <x:v>서계동 252-73</x:v>
      </x:c>
      <x:c r="D99" s="61" t="str">
        <x:v>(252-73)</x:v>
      </x:c>
      <x:c r="E99" s="55" t="str">
        <x:v>다세대주택</x:v>
      </x:c>
      <x:c r="F99" s="57" t="n">
        <x:v>66000</x:v>
      </x:c>
      <x:c r="G99" s="58" t="n">
        <x:f>IFERROR(F99/10000,"")</x:f>
        <x:v>6.6</x:v>
      </x:c>
      <x:c r="H99" s="55" t="str">
        <x:v>다세대</x:v>
      </x:c>
      <x:c r="I99" s="59" t="n">
        <x:v>17.68</x:v>
      </x:c>
      <x:c r="J99" s="59" t="n">
        <x:f>IFERROR(I99/3.3058,"")</x:f>
        <x:v>5.3481759332083</x:v>
      </x:c>
      <x:c r="K99" s="57" t="n">
        <x:f>IFERROR(F99/J99,"")</x:f>
        <x:v>12340.656108597286</x:v>
      </x:c>
      <x:c r="L99" s="59" t="n">
        <x:v>47.98</x:v>
      </x:c>
      <x:c r="M99" s="57" t="n">
        <x:f>IFERROR(F99/(L99/3.3),"")</x:f>
        <x:v>4539.391413088787</x:v>
      </x:c>
      <x:c r="N99" s="55" t="str">
        <x:v>2</x:v>
      </x:c>
      <x:c r="O99" s="57" t="n">
        <x:v>32000</x:v>
      </x:c>
      <x:c r="P99" s="60" t="n">
        <x:f>IFERROR(F99/O99-1,"")</x:f>
        <x:v>1.0625</x:v>
      </x:c>
      <x:c r="Q99" s="55" t="n">
        <x:v>1996</x:v>
      </x:c>
      <x:c r="R99" s="55" t="str">
        <x:v>비지하</x:v>
      </x:c>
      <x:c r="S99" s="55" t="str">
        <x:v>중개거래</x:v>
      </x:c>
      <x:c r="T99" s="55" t="str">
        <x:v>서울 용산구</x:v>
      </x:c>
      <x:c r="U99" s="55" t="n">
        <x:v>8516209</x:v>
      </x:c>
      <x:c r="V99" s="55" t="str">
        <x:v>활성</x:v>
      </x:c>
    </x:row>
    <x:row r="100">
      <x:c r="A100" s="55" t="n">
        <x:v>96</x:v>
      </x:c>
      <x:c r="B100" s="56" t="n">
        <x:v>45833</x:v>
      </x:c>
      <x:c r="C100" s="61" t="str">
        <x:v>청파동1가 1-16</x:v>
      </x:c>
      <x:c r="D100" s="61" t="str">
        <x:v>가보주택</x:v>
      </x:c>
      <x:c r="E100" s="55" t="str">
        <x:v>다세대주택</x:v>
      </x:c>
      <x:c r="F100" s="57" t="n">
        <x:v>49500</x:v>
      </x:c>
      <x:c r="G100" s="58" t="n">
        <x:f>IFERROR(F100/10000,"")</x:f>
        <x:v>4.95</x:v>
      </x:c>
      <x:c r="H100" s="55" t="str">
        <x:v>다세대</x:v>
      </x:c>
      <x:c r="I100" s="59" t="n">
        <x:v>15.873</x:v>
      </x:c>
      <x:c r="J100" s="59" t="n">
        <x:f>IFERROR(I100/3.3058,"")</x:f>
        <x:v>4.801560892975981</x:v>
      </x:c>
      <x:c r="K100" s="57" t="n">
        <x:f>IFERROR(F100/J100,"")</x:f>
        <x:v>10309.147609147609</x:v>
      </x:c>
      <x:c r="L100" s="59" t="n">
        <x:v>31.36</x:v>
      </x:c>
      <x:c r="M100" s="57" t="n">
        <x:f>IFERROR(F100/(L100/3.3),"")</x:f>
        <x:v>5208.864795918367</x:v>
      </x:c>
      <x:c r="N100" s="55" t="str">
        <x:v>1</x:v>
      </x:c>
      <x:c r="O100" s="57" t="n">
        <x:v>24900</x:v>
      </x:c>
      <x:c r="P100" s="60" t="n">
        <x:f>IFERROR(F100/O100-1,"")</x:f>
        <x:v>0.9879518072289157</x:v>
      </x:c>
      <x:c r="Q100" s="55" t="n">
        <x:v>1997</x:v>
      </x:c>
      <x:c r="R100" s="55" t="str">
        <x:v>비지하</x:v>
      </x:c>
      <x:c r="S100" s="55" t="str">
        <x:v>중개거래</x:v>
      </x:c>
      <x:c r="T100" s="55" t="str">
        <x:v>서울 용산구</x:v>
      </x:c>
      <x:c r="U100" s="55" t="n">
        <x:v>8516142</x:v>
      </x:c>
      <x:c r="V100" s="55" t="str">
        <x:v>활성</x:v>
      </x:c>
    </x:row>
    <x:row r="101">
      <x:c r="A101" s="55" t="n">
        <x:v>97</x:v>
      </x:c>
      <x:c r="B101" s="56" t="n">
        <x:v>45806</x:v>
      </x:c>
      <x:c r="C101" s="61" t="str">
        <x:v>청파동1가 1-16</x:v>
      </x:c>
      <x:c r="D101" s="61" t="str">
        <x:v>가보주택</x:v>
      </x:c>
      <x:c r="E101" s="55" t="str">
        <x:v>다세대주택</x:v>
      </x:c>
      <x:c r="F101" s="57" t="n">
        <x:v>46500</x:v>
      </x:c>
      <x:c r="G101" s="58" t="n">
        <x:f>IFERROR(F101/10000,"")</x:f>
        <x:v>4.65</x:v>
      </x:c>
      <x:c r="H101" s="55" t="str">
        <x:v>다세대</x:v>
      </x:c>
      <x:c r="I101" s="59" t="n">
        <x:v>14.028</x:v>
      </x:c>
      <x:c r="J101" s="59" t="n">
        <x:f>IFERROR(I101/3.3058,"")</x:f>
        <x:v>4.24345090447093</x:v>
      </x:c>
      <x:c r="K101" s="57" t="n">
        <x:f>IFERROR(F101/J101,"")</x:f>
        <x:v>10958.0624465355</x:v>
      </x:c>
      <x:c r="L101" s="59" t="n">
        <x:v>27.72</x:v>
      </x:c>
      <x:c r="M101" s="57" t="n">
        <x:f>IFERROR(F101/(L101/3.3),"")</x:f>
        <x:v>5535.714285714285</x:v>
      </x:c>
      <x:c r="N101" s="55" t="str">
        <x:v>3</x:v>
      </x:c>
      <x:c r="O101" s="57" t="n">
        <x:v>21900</x:v>
      </x:c>
      <x:c r="P101" s="60" t="n">
        <x:f>IFERROR(F101/O101-1,"")</x:f>
        <x:v>1.1232876712328768</x:v>
      </x:c>
      <x:c r="Q101" s="55" t="n">
        <x:v>1997</x:v>
      </x:c>
      <x:c r="R101" s="55" t="str">
        <x:v>비지하</x:v>
      </x:c>
      <x:c r="S101" s="55" t="str">
        <x:v>중개거래</x:v>
      </x:c>
      <x:c r="T101" s="55" t="str">
        <x:v>서울 용산구</x:v>
      </x:c>
      <x:c r="U101" s="55" t="n">
        <x:v>8516013</x:v>
      </x:c>
      <x:c r="V101" s="55" t="str">
        <x:v>활성</x:v>
      </x:c>
    </x:row>
    <x:row r="102">
      <x:c r="A102" s="55" t="n">
        <x:v>98</x:v>
      </x:c>
      <x:c r="B102" s="56" t="n">
        <x:v>45804</x:v>
      </x:c>
      <x:c r="C102" s="61" t="str">
        <x:v>서계동 91</x:v>
      </x:c>
      <x:c r="D102" s="61" t="str">
        <x:v>(91-0)</x:v>
      </x:c>
      <x:c r="E102" s="55" t="str">
        <x:v>다세대주택</x:v>
      </x:c>
      <x:c r="F102" s="57" t="n">
        <x:v>95000</x:v>
      </x:c>
      <x:c r="G102" s="58" t="n">
        <x:f>IFERROR(F102/10000,"")</x:f>
        <x:v>9.5</x:v>
      </x:c>
      <x:c r="H102" s="55" t="str">
        <x:v>다세대</x:v>
      </x:c>
      <x:c r="I102" s="59" t="n">
        <x:v>43.07</x:v>
      </x:c>
      <x:c r="J102" s="59" t="n">
        <x:f>IFERROR(I102/3.3058,"")</x:f>
        <x:v>13.02861637122633</x:v>
      </x:c>
      <x:c r="K102" s="57" t="n">
        <x:f>IFERROR(F102/J102,"")</x:f>
        <x:v>7291.64151381472</x:v>
      </x:c>
      <x:c r="L102" s="59" t="n">
        <x:v>58.59</x:v>
      </x:c>
      <x:c r="M102" s="57" t="n">
        <x:f>IFERROR(F102/(L102/3.3),"")</x:f>
        <x:v>5350.74244751664</x:v>
      </x:c>
      <x:c r="N102" s="55" t="str">
        <x:v>1</x:v>
      </x:c>
      <x:c r="O102" s="57" t="n">
        <x:v>60700</x:v>
      </x:c>
      <x:c r="P102" s="60" t="n">
        <x:f>IFERROR(F102/O102-1,"")</x:f>
        <x:v>0.5650741350906097</x:v>
      </x:c>
      <x:c r="Q102" s="55" t="n">
        <x:v>1988</x:v>
      </x:c>
      <x:c r="R102" s="55" t="str">
        <x:v>비지하</x:v>
      </x:c>
      <x:c r="S102" s="55" t="str">
        <x:v>중개거래</x:v>
      </x:c>
      <x:c r="T102" s="55" t="str">
        <x:v>서울 용산구</x:v>
      </x:c>
      <x:c r="U102" s="55" t="n">
        <x:v>8516017</x:v>
      </x:c>
      <x:c r="V102" s="55" t="str">
        <x:v>활성</x:v>
      </x:c>
    </x:row>
    <x:row r="103">
      <x:c r="A103" s="55" t="n">
        <x:v>99</x:v>
      </x:c>
      <x:c r="B103" s="56" t="n">
        <x:v>45800</x:v>
      </x:c>
      <x:c r="C103" s="61" t="str">
        <x:v>청파동1가 1-16</x:v>
      </x:c>
      <x:c r="D103" s="61" t="str">
        <x:v>가보주택</x:v>
      </x:c>
      <x:c r="E103" s="55" t="str">
        <x:v>다세대주택</x:v>
      </x:c>
      <x:c r="F103" s="57" t="n">
        <x:v>45500</x:v>
      </x:c>
      <x:c r="G103" s="58" t="n">
        <x:f>IFERROR(F103/10000,"")</x:f>
        <x:v>4.55</x:v>
      </x:c>
      <x:c r="H103" s="55" t="str">
        <x:v>다세대</x:v>
      </x:c>
      <x:c r="I103" s="59" t="n">
        <x:v>14.028</x:v>
      </x:c>
      <x:c r="J103" s="59" t="n">
        <x:f>IFERROR(I103/3.3058,"")</x:f>
        <x:v>4.24345090447093</x:v>
      </x:c>
      <x:c r="K103" s="57" t="n">
        <x:f>IFERROR(F103/J103,"")</x:f>
        <x:v>10722.405189620757</x:v>
      </x:c>
      <x:c r="L103" s="59" t="n">
        <x:v>27.72</x:v>
      </x:c>
      <x:c r="M103" s="57" t="n">
        <x:f>IFERROR(F103/(L103/3.3),"")</x:f>
        <x:v>5416.666666666666</x:v>
      </x:c>
      <x:c r="N103" s="55" t="str">
        <x:v>3</x:v>
      </x:c>
      <x:c r="O103" s="57" t="n">
        <x:v>21900</x:v>
      </x:c>
      <x:c r="P103" s="60" t="n">
        <x:f>IFERROR(F103/O103-1,"")</x:f>
        <x:v>1.0776255707762559</x:v>
      </x:c>
      <x:c r="Q103" s="55" t="n">
        <x:v>1997</x:v>
      </x:c>
      <x:c r="R103" s="55" t="str">
        <x:v>비지하</x:v>
      </x:c>
      <x:c r="S103" s="55" t="str">
        <x:v>중개거래</x:v>
      </x:c>
      <x:c r="T103" s="55" t="str">
        <x:v>서울 용산구</x:v>
      </x:c>
      <x:c r="U103" s="55" t="n">
        <x:v>8516072</x:v>
      </x:c>
      <x:c r="V103" s="55" t="str">
        <x:v>활성</x:v>
      </x:c>
    </x:row>
    <x:row r="104">
      <x:c r="A104" s="55" t="n">
        <x:v>100</x:v>
      </x:c>
      <x:c r="B104" s="56" t="n">
        <x:v>45799</x:v>
      </x:c>
      <x:c r="C104" s="61" t="str">
        <x:v>청파동1가 1-16</x:v>
      </x:c>
      <x:c r="D104" s="61" t="str">
        <x:v>가보주택</x:v>
      </x:c>
      <x:c r="E104" s="55" t="str">
        <x:v>다세대주택</x:v>
      </x:c>
      <x:c r="F104" s="57" t="n">
        <x:v>41500</x:v>
      </x:c>
      <x:c r="G104" s="58" t="n">
        <x:f>IFERROR(F104/10000,"")</x:f>
        <x:v>4.15</x:v>
      </x:c>
      <x:c r="H104" s="55" t="str">
        <x:v>다세대</x:v>
      </x:c>
      <x:c r="I104" s="59" t="n">
        <x:v>12.541</x:v>
      </x:c>
      <x:c r="J104" s="59" t="n">
        <x:f>IFERROR(I104/3.3058,"")</x:f>
        <x:v>3.793635428640571</x:v>
      </x:c>
      <x:c r="K104" s="57" t="n">
        <x:f>IFERROR(F104/J104,"")</x:f>
        <x:v>10939.37485049039</x:v>
      </x:c>
      <x:c r="L104" s="59" t="n">
        <x:v>24.78</x:v>
      </x:c>
      <x:c r="M104" s="57" t="n">
        <x:f>IFERROR(F104/(L104/3.3),"")</x:f>
        <x:v>5526.634382566585</x:v>
      </x:c>
      <x:c r="N104" s="55" t="str">
        <x:v>1</x:v>
      </x:c>
      <x:c r="O104" s="57" t="n">
        <x:v>19800</x:v>
      </x:c>
      <x:c r="P104" s="60" t="n">
        <x:f>IFERROR(F104/O104-1,"")</x:f>
        <x:v>1.095959595959596</x:v>
      </x:c>
      <x:c r="Q104" s="55" t="n">
        <x:v>1997</x:v>
      </x:c>
      <x:c r="R104" s="55" t="str">
        <x:v>비지하</x:v>
      </x:c>
      <x:c r="S104" s="55" t="str">
        <x:v>중개거래</x:v>
      </x:c>
      <x:c r="T104" s="55" t="str">
        <x:v>서울 용산구</x:v>
      </x:c>
      <x:c r="U104" s="55" t="n">
        <x:v>8516073</x:v>
      </x:c>
      <x:c r="V104" s="55" t="str">
        <x:v>활성</x:v>
      </x:c>
    </x:row>
    <x:row r="105">
      <x:c r="A105" s="55" t="n">
        <x:v>101</x:v>
      </x:c>
      <x:c r="B105" s="56" t="n">
        <x:v>45798</x:v>
      </x:c>
      <x:c r="C105" s="61" t="str">
        <x:v>서계동 33-148</x:v>
      </x:c>
      <x:c r="D105" s="61" t="str"/>
      <x:c r="E105" s="55" t="str">
        <x:v>단독주택</x:v>
      </x:c>
      <x:c r="F105" s="57" t="n">
        <x:v>70000</x:v>
      </x:c>
      <x:c r="G105" s="58" t="n">
        <x:f>IFERROR(F105/10000,"")</x:f>
        <x:v>7</x:v>
      </x:c>
      <x:c r="H105" s="55" t="str">
        <x:v>단독</x:v>
      </x:c>
      <x:c r="I105" s="59" t="n">
        <x:v>52.9</x:v>
      </x:c>
      <x:c r="J105" s="59" t="n">
        <x:f>IFERROR(I105/3.3058,"")</x:f>
        <x:v>16.002177990199044</x:v>
      </x:c>
      <x:c r="K105" s="57" t="n">
        <x:f>IFERROR(F105/J105,"")</x:f>
        <x:v>4374.404536862004</x:v>
      </x:c>
      <x:c r="L105" s="59" t="n">
        <x:v>18.74</x:v>
      </x:c>
      <x:c r="M105" s="57" t="n">
        <x:f>IFERROR(F105/(L105/3.3),"")</x:f>
        <x:v>12326.57417289221</x:v>
      </x:c>
      <x:c r="N105" s="55" t="str"/>
      <x:c r="O105" s="57" t="n">
        <x:v>27800</x:v>
      </x:c>
      <x:c r="P105" s="60" t="n">
        <x:f>IFERROR(F105/O105-1,"")</x:f>
        <x:v>1.5179856115107913</x:v>
      </x:c>
      <x:c r="Q105" s="55" t="n">
        <x:v>1929</x:v>
      </x:c>
      <x:c r="R105" s="55" t="str"/>
      <x:c r="S105" s="55" t="str">
        <x:v>중개거래</x:v>
      </x:c>
      <x:c r="T105" s="55" t="str">
        <x:v>서울 용산구</x:v>
      </x:c>
      <x:c r="U105" s="55" t="n">
        <x:v>3303723</x:v>
      </x:c>
      <x:c r="V105" s="55" t="str">
        <x:v>활성</x:v>
      </x:c>
    </x:row>
    <x:row r="106">
      <x:c r="A106" s="55" t="n">
        <x:v>102</x:v>
      </x:c>
      <x:c r="B106" s="56" t="n">
        <x:v>45786</x:v>
      </x:c>
      <x:c r="C106" s="61" t="str">
        <x:v>서계동 244-10</x:v>
      </x:c>
      <x:c r="D106" s="61" t="str">
        <x:v>(244-10)</x:v>
      </x:c>
      <x:c r="E106" s="55" t="str">
        <x:v>다세대주택</x:v>
      </x:c>
      <x:c r="F106" s="57" t="n">
        <x:v>90500</x:v>
      </x:c>
      <x:c r="G106" s="58" t="n">
        <x:f>IFERROR(F106/10000,"")</x:f>
        <x:v>9.05</x:v>
      </x:c>
      <x:c r="H106" s="55" t="str">
        <x:v>다세대</x:v>
      </x:c>
      <x:c r="I106" s="59" t="n">
        <x:v>26.7</x:v>
      </x:c>
      <x:c r="J106" s="59" t="n">
        <x:f>IFERROR(I106/3.3058,"")</x:f>
        <x:v>8.076713654788554</x:v>
      </x:c>
      <x:c r="K106" s="57" t="n">
        <x:f>IFERROR(F106/J106,"")</x:f>
        <x:v>11205.052434456928</x:v>
      </x:c>
      <x:c r="L106" s="59" t="n">
        <x:v>64.17</x:v>
      </x:c>
      <x:c r="M106" s="57" t="n">
        <x:f>IFERROR(F106/(L106/3.3),"")</x:f>
        <x:v>4654.043945769051</x:v>
      </x:c>
      <x:c r="N106" s="55" t="str">
        <x:v>3</x:v>
      </x:c>
      <x:c r="O106" s="57" t="n">
        <x:v>55100</x:v>
      </x:c>
      <x:c r="P106" s="60" t="n">
        <x:f>IFERROR(F106/O106-1,"")</x:f>
        <x:v>0.6424682395644283</x:v>
      </x:c>
      <x:c r="Q106" s="55" t="n">
        <x:v>2001</x:v>
      </x:c>
      <x:c r="R106" s="55" t="str">
        <x:v>비지하</x:v>
      </x:c>
      <x:c r="S106" s="55" t="str">
        <x:v>중개거래</x:v>
      </x:c>
      <x:c r="T106" s="55" t="str">
        <x:v>서울 서대문구</x:v>
      </x:c>
      <x:c r="U106" s="55" t="n">
        <x:v>8516113</x:v>
      </x:c>
      <x:c r="V106" s="55" t="str">
        <x:v>활성</x:v>
      </x:c>
    </x:row>
    <x:row r="107">
      <x:c r="A107" s="55" t="n">
        <x:v>103</x:v>
      </x:c>
      <x:c r="B107" s="56" t="n">
        <x:v>45775</x:v>
      </x:c>
      <x:c r="C107" s="61" t="str">
        <x:v>서계동 253-14</x:v>
      </x:c>
      <x:c r="D107" s="61" t="str">
        <x:v>(253-14)</x:v>
      </x:c>
      <x:c r="E107" s="55" t="str">
        <x:v>다세대주택</x:v>
      </x:c>
      <x:c r="F107" s="57" t="n">
        <x:v>55000</x:v>
      </x:c>
      <x:c r="G107" s="58" t="n">
        <x:f>IFERROR(F107/10000,"")</x:f>
        <x:v>5.5</x:v>
      </x:c>
      <x:c r="H107" s="55" t="str">
        <x:v>다세대</x:v>
      </x:c>
      <x:c r="I107" s="59" t="n">
        <x:v>13.52</x:v>
      </x:c>
      <x:c r="J107" s="59" t="n">
        <x:f>IFERROR(I107/3.3058,"")</x:f>
        <x:v>4.089781595982818</x:v>
      </x:c>
      <x:c r="K107" s="57" t="n">
        <x:f>IFERROR(F107/J107,"")</x:f>
        <x:v>13448.150887573964</x:v>
      </x:c>
      <x:c r="L107" s="59" t="n">
        <x:v>41.75</x:v>
      </x:c>
      <x:c r="M107" s="57" t="n">
        <x:f>IFERROR(F107/(L107/3.3),"")</x:f>
        <x:v>4347.305389221557</x:v>
      </x:c>
      <x:c r="N107" s="55" t="str">
        <x:v>-1</x:v>
      </x:c>
      <x:c r="O107" s="57" t="n">
        <x:v>20800</x:v>
      </x:c>
      <x:c r="P107" s="60" t="n">
        <x:f>IFERROR(F107/O107-1,"")</x:f>
        <x:v>1.6442307692307692</x:v>
      </x:c>
      <x:c r="Q107" s="55" t="n">
        <x:v>1997</x:v>
      </x:c>
      <x:c r="R107" s="55" t="str">
        <x:v>지하</x:v>
      </x:c>
      <x:c r="S107" s="55" t="str">
        <x:v>중개거래</x:v>
      </x:c>
      <x:c r="T107" s="55" t="str">
        <x:v>서울 강남구, 서울 용산구</x:v>
      </x:c>
      <x:c r="U107" s="55" t="n">
        <x:v>8515926</x:v>
      </x:c>
      <x:c r="V107" s="55" t="str">
        <x:v>활성</x:v>
      </x:c>
    </x:row>
    <x:row r="108">
      <x:c r="A108" s="55" t="n">
        <x:v>104</x:v>
      </x:c>
      <x:c r="B108" s="56" t="n">
        <x:v>45758</x:v>
      </x:c>
      <x:c r="C108" s="61" t="str">
        <x:v>청파동1가 1-40</x:v>
      </x:c>
      <x:c r="D108" s="61" t="str">
        <x:v>올림프스빌리지1-40)</x:v>
      </x:c>
      <x:c r="E108" s="55" t="str">
        <x:v>다세대주택</x:v>
      </x:c>
      <x:c r="F108" s="57" t="n">
        <x:v>84000</x:v>
      </x:c>
      <x:c r="G108" s="58" t="n">
        <x:f>IFERROR(F108/10000,"")</x:f>
        <x:v>8.4</x:v>
      </x:c>
      <x:c r="H108" s="55" t="str">
        <x:v>다세대</x:v>
      </x:c>
      <x:c r="I108" s="59" t="n">
        <x:v>33.06</x:v>
      </x:c>
      <x:c r="J108" s="59" t="n">
        <x:f>IFERROR(I108/3.3058,"")</x:f>
        <x:v>10.000604997277513</x:v>
      </x:c>
      <x:c r="K108" s="57" t="n">
        <x:f>IFERROR(F108/J108,"")</x:f>
        <x:v>8399.491833030852</x:v>
      </x:c>
      <x:c r="L108" s="59" t="n">
        <x:v>60.46</x:v>
      </x:c>
      <x:c r="M108" s="57" t="n">
        <x:f>IFERROR(F108/(L108/3.3),"")</x:f>
        <x:v>4584.849487264306</x:v>
      </x:c>
      <x:c r="N108" s="55" t="str">
        <x:v>3</x:v>
      </x:c>
      <x:c r="O108" s="57" t="n">
        <x:v>53600</x:v>
      </x:c>
      <x:c r="P108" s="60" t="n">
        <x:f>IFERROR(F108/O108-1,"")</x:f>
        <x:v>0.5671641791044777</x:v>
      </x:c>
      <x:c r="Q108" s="55" t="n">
        <x:v>2010</x:v>
      </x:c>
      <x:c r="R108" s="55" t="str">
        <x:v>비지하</x:v>
      </x:c>
      <x:c r="S108" s="55" t="str">
        <x:v>중개거래</x:v>
      </x:c>
      <x:c r="T108" s="55" t="str">
        <x:v>서울 용산구</x:v>
      </x:c>
      <x:c r="U108" s="55" t="n">
        <x:v>8515981</x:v>
      </x:c>
      <x:c r="V108" s="55" t="str">
        <x:v>활성</x:v>
      </x:c>
    </x:row>
    <x:row r="109">
      <x:c r="A109" s="55" t="n">
        <x:v>105</x:v>
      </x:c>
      <x:c r="B109" s="56" t="n">
        <x:v>45752</x:v>
      </x:c>
      <x:c r="C109" s="61" t="str">
        <x:v>청파동1가 1-29</x:v>
      </x:c>
      <x:c r="D109" s="61" t="str">
        <x:v>(1-29)</x:v>
      </x:c>
      <x:c r="E109" s="55" t="str">
        <x:v>다세대주택</x:v>
      </x:c>
      <x:c r="F109" s="57" t="n">
        <x:v>70000</x:v>
      </x:c>
      <x:c r="G109" s="58" t="n">
        <x:f>IFERROR(F109/10000,"")</x:f>
        <x:v>7</x:v>
      </x:c>
      <x:c r="H109" s="55" t="str">
        <x:v>다세대</x:v>
      </x:c>
      <x:c r="I109" s="59" t="n">
        <x:v>42.966</x:v>
      </x:c>
      <x:c r="J109" s="59" t="n">
        <x:f>IFERROR(I109/3.3058,"")</x:f>
        <x:v>12.997156512795693</x:v>
      </x:c>
      <x:c r="K109" s="57" t="n">
        <x:f>IFERROR(F109/J109,"")</x:f>
        <x:v>5385.793418051482</x:v>
      </x:c>
      <x:c r="L109" s="59" t="n">
        <x:v>52.08</x:v>
      </x:c>
      <x:c r="M109" s="57" t="n">
        <x:f>IFERROR(F109/(L109/3.3),"")</x:f>
        <x:v>4435.483870967742</x:v>
      </x:c>
      <x:c r="N109" s="55" t="str">
        <x:v>-1</x:v>
      </x:c>
      <x:c r="O109" s="57" t="n">
        <x:v>37300</x:v>
      </x:c>
      <x:c r="P109" s="60" t="n">
        <x:f>IFERROR(F109/O109-1,"")</x:f>
        <x:v>0.8766756032171581</x:v>
      </x:c>
      <x:c r="Q109" s="55" t="n">
        <x:v>1988</x:v>
      </x:c>
      <x:c r="R109" s="55" t="str">
        <x:v>지하</x:v>
      </x:c>
      <x:c r="S109" s="55" t="str">
        <x:v>중개거래</x:v>
      </x:c>
      <x:c r="T109" s="55" t="str">
        <x:v>서울 용산구</x:v>
      </x:c>
      <x:c r="U109" s="55" t="n">
        <x:v>8515953</x:v>
      </x:c>
      <x:c r="V109" s="55" t="str">
        <x:v>활성</x:v>
      </x:c>
    </x:row>
    <x:row r="110">
      <x:c r="A110" s="55" t="n">
        <x:v>106</x:v>
      </x:c>
      <x:c r="B110" s="56" t="n">
        <x:v>45752</x:v>
      </x:c>
      <x:c r="C110" s="61" t="str">
        <x:v>청파동1가 1-16</x:v>
      </x:c>
      <x:c r="D110" s="61" t="str">
        <x:v>가보주택</x:v>
      </x:c>
      <x:c r="E110" s="55" t="str">
        <x:v>다세대주택</x:v>
      </x:c>
      <x:c r="F110" s="57" t="n">
        <x:v>47500</x:v>
      </x:c>
      <x:c r="G110" s="58" t="n">
        <x:f>IFERROR(F110/10000,"")</x:f>
        <x:v>4.75</x:v>
      </x:c>
      <x:c r="H110" s="55" t="str">
        <x:v>다세대</x:v>
      </x:c>
      <x:c r="I110" s="59" t="n">
        <x:v>15.873</x:v>
      </x:c>
      <x:c r="J110" s="59" t="n">
        <x:f>IFERROR(I110/3.3058,"")</x:f>
        <x:v>4.801560892975981</x:v>
      </x:c>
      <x:c r="K110" s="57" t="n">
        <x:f>IFERROR(F110/J110,"")</x:f>
        <x:v>9892.616392616394</x:v>
      </x:c>
      <x:c r="L110" s="59" t="n">
        <x:v>31.36</x:v>
      </x:c>
      <x:c r="M110" s="57" t="n">
        <x:f>IFERROR(F110/(L110/3.3),"")</x:f>
        <x:v>4998.405612244897</x:v>
      </x:c>
      <x:c r="N110" s="55" t="str">
        <x:v>3</x:v>
      </x:c>
      <x:c r="O110" s="57" t="n">
        <x:v>24900</x:v>
      </x:c>
      <x:c r="P110" s="60" t="n">
        <x:f>IFERROR(F110/O110-1,"")</x:f>
        <x:v>0.9076305220883534</x:v>
      </x:c>
      <x:c r="Q110" s="55" t="n">
        <x:v>1997</x:v>
      </x:c>
      <x:c r="R110" s="55" t="str">
        <x:v>비지하</x:v>
      </x:c>
      <x:c r="S110" s="55" t="str">
        <x:v>중개거래</x:v>
      </x:c>
      <x:c r="T110" s="55" t="str">
        <x:v>서울 용산구</x:v>
      </x:c>
      <x:c r="U110" s="55" t="n">
        <x:v>8515942</x:v>
      </x:c>
      <x:c r="V110" s="55" t="str">
        <x:v>활성</x:v>
      </x:c>
    </x:row>
    <x:row r="111">
      <x:c r="A111" s="55" t="n">
        <x:v>107</x:v>
      </x:c>
      <x:c r="B111" s="56" t="n">
        <x:v>45745</x:v>
      </x:c>
      <x:c r="C111" s="61" t="str">
        <x:v>서계동 251-1</x:v>
      </x:c>
      <x:c r="D111" s="61" t="str">
        <x:v>(251-1)</x:v>
      </x:c>
      <x:c r="E111" s="55" t="str">
        <x:v>다세대주택</x:v>
      </x:c>
      <x:c r="F111" s="57" t="n">
        <x:v>71500</x:v>
      </x:c>
      <x:c r="G111" s="58" t="n">
        <x:f>IFERROR(F111/10000,"")</x:f>
        <x:v>7.15</x:v>
      </x:c>
      <x:c r="H111" s="55" t="str">
        <x:v>다세대</x:v>
      </x:c>
      <x:c r="I111" s="59" t="n">
        <x:v>22.62</x:v>
      </x:c>
      <x:c r="J111" s="59" t="n">
        <x:f>IFERROR(I111/3.3058,"")</x:f>
        <x:v>6.842519208663561</x:v>
      </x:c>
      <x:c r="K111" s="57" t="n">
        <x:f>IFERROR(F111/J111,"")</x:f>
        <x:v>10449.367816091954</x:v>
      </x:c>
      <x:c r="L111" s="59" t="n">
        <x:v>55.14</x:v>
      </x:c>
      <x:c r="M111" s="57" t="n">
        <x:f>IFERROR(F111/(L111/3.3),"")</x:f>
        <x:v>4279.1077257889</x:v>
      </x:c>
      <x:c r="N111" s="55" t="str">
        <x:v>1</x:v>
      </x:c>
      <x:c r="O111" s="57" t="n">
        <x:v>32700</x:v>
      </x:c>
      <x:c r="P111" s="60" t="n">
        <x:f>IFERROR(F111/O111-1,"")</x:f>
        <x:v>1.1865443425076454</x:v>
      </x:c>
      <x:c r="Q111" s="55" t="n">
        <x:v>1996</x:v>
      </x:c>
      <x:c r="R111" s="55" t="str">
        <x:v>비지하</x:v>
      </x:c>
      <x:c r="S111" s="55" t="str">
        <x:v>중개거래</x:v>
      </x:c>
      <x:c r="T111" s="55" t="str">
        <x:v>서울 용산구, 서울 중구</x:v>
      </x:c>
      <x:c r="U111" s="55" t="n">
        <x:v>8515831</x:v>
      </x:c>
      <x:c r="V111" s="55" t="str">
        <x:v>활성</x:v>
      </x:c>
    </x:row>
    <x:row r="112">
      <x:c r="A112" s="55" t="n">
        <x:v>108</x:v>
      </x:c>
      <x:c r="B112" s="56" t="n">
        <x:v>45745</x:v>
      </x:c>
      <x:c r="C112" s="61" t="str">
        <x:v>서계동 244-7</x:v>
      </x:c>
      <x:c r="D112" s="61" t="str"/>
      <x:c r="E112" s="55" t="str">
        <x:v>단독주택</x:v>
      </x:c>
      <x:c r="F112" s="57" t="n">
        <x:v>59750</x:v>
      </x:c>
      <x:c r="G112" s="58" t="n">
        <x:f>IFERROR(F112/10000,"")</x:f>
        <x:v>5.975</x:v>
      </x:c>
      <x:c r="H112" s="55" t="str">
        <x:v>단독</x:v>
      </x:c>
      <x:c r="I112" s="59" t="n">
        <x:v>34</x:v>
      </x:c>
      <x:c r="J112" s="59" t="n">
        <x:f>IFERROR(I112/3.3058,"")</x:f>
        <x:v>10.28495371770827</x:v>
      </x:c>
      <x:c r="K112" s="57" t="n">
        <x:f>IFERROR(F112/J112,"")</x:f>
        <x:v>5809.457352941177</x:v>
      </x:c>
      <x:c r="L112" s="59" t="n">
        <x:v>17.48</x:v>
      </x:c>
      <x:c r="M112" s="57" t="n">
        <x:f>IFERROR(F112/(L112/3.3),"")</x:f>
        <x:v>11280.03432494279</x:v>
      </x:c>
      <x:c r="N112" s="55" t="str"/>
      <x:c r="O112" s="57" t="n">
        <x:v>17200</x:v>
      </x:c>
      <x:c r="P112" s="60" t="n">
        <x:f>IFERROR(F112/O112-1,"")</x:f>
        <x:v>2.4738372093023258</x:v>
      </x:c>
      <x:c r="Q112" s="55" t="n">
        <x:v>2008</x:v>
      </x:c>
      <x:c r="R112" s="55" t="str"/>
      <x:c r="S112" s="55" t="str">
        <x:v>중개거래</x:v>
      </x:c>
      <x:c r="T112" s="55" t="str">
        <x:v>서울 용산구</x:v>
      </x:c>
      <x:c r="U112" s="55" t="n">
        <x:v>3303668</x:v>
      </x:c>
      <x:c r="V112" s="55" t="str">
        <x:v>활성</x:v>
      </x:c>
    </x:row>
    <x:row r="113">
      <x:c r="A113" s="55" t="n">
        <x:v>109</x:v>
      </x:c>
      <x:c r="B113" s="56" t="n">
        <x:v>45729</x:v>
      </x:c>
      <x:c r="C113" s="61" t="str">
        <x:v>청파동1가 1-57</x:v>
      </x:c>
      <x:c r="D113" s="61" t="str">
        <x:v>홍은빌라</x:v>
      </x:c>
      <x:c r="E113" s="55" t="str">
        <x:v>다세대주택</x:v>
      </x:c>
      <x:c r="F113" s="57" t="n">
        <x:v>65000</x:v>
      </x:c>
      <x:c r="G113" s="58" t="n">
        <x:f>IFERROR(F113/10000,"")</x:f>
        <x:v>6.5</x:v>
      </x:c>
      <x:c r="H113" s="55" t="str">
        <x:v>다세대</x:v>
      </x:c>
      <x:c r="I113" s="59" t="n">
        <x:v>26.47</x:v>
      </x:c>
      <x:c r="J113" s="59" t="n">
        <x:f>IFERROR(I113/3.3058,"")</x:f>
        <x:v>8.007138967874644</x:v>
      </x:c>
      <x:c r="K113" s="57" t="n">
        <x:f>IFERROR(F113/J113,"")</x:f>
        <x:v>8117.755950132226</x:v>
      </x:c>
      <x:c r="L113" s="59" t="n">
        <x:v>39.16</x:v>
      </x:c>
      <x:c r="M113" s="57" t="n">
        <x:f>IFERROR(F113/(L113/3.3),"")</x:f>
        <x:v>5477.52808988764</x:v>
      </x:c>
      <x:c r="N113" s="55" t="str">
        <x:v>3</x:v>
      </x:c>
      <x:c r="O113" s="57" t="n">
        <x:v>31300</x:v>
      </x:c>
      <x:c r="P113" s="60" t="n">
        <x:f>IFERROR(F113/O113-1,"")</x:f>
        <x:v>1.0766773162939298</x:v>
      </x:c>
      <x:c r="Q113" s="55" t="n">
        <x:v>1993</x:v>
      </x:c>
      <x:c r="R113" s="55" t="str">
        <x:v>비지하</x:v>
      </x:c>
      <x:c r="S113" s="55" t="str">
        <x:v>중개거래</x:v>
      </x:c>
      <x:c r="T113" s="55" t="str">
        <x:v>서울 용산구</x:v>
      </x:c>
      <x:c r="U113" s="55" t="n">
        <x:v>8515868</x:v>
      </x:c>
      <x:c r="V113" s="55" t="str">
        <x:v>활성</x:v>
      </x:c>
    </x:row>
    <x:row r="114">
      <x:c r="A114" s="55" t="n">
        <x:v>110</x:v>
      </x:c>
      <x:c r="B114" s="56" t="n">
        <x:v>45716</x:v>
      </x:c>
      <x:c r="C114" s="61" t="str">
        <x:v>청파동1가 1-16</x:v>
      </x:c>
      <x:c r="D114" s="61" t="str">
        <x:v>가보주택</x:v>
      </x:c>
      <x:c r="E114" s="55" t="str">
        <x:v>다세대주택</x:v>
      </x:c>
      <x:c r="F114" s="57" t="n">
        <x:v>46500</x:v>
      </x:c>
      <x:c r="G114" s="58" t="n">
        <x:f>IFERROR(F114/10000,"")</x:f>
        <x:v>4.65</x:v>
      </x:c>
      <x:c r="H114" s="55" t="str">
        <x:v>다세대</x:v>
      </x:c>
      <x:c r="I114" s="59" t="n">
        <x:v>14.028</x:v>
      </x:c>
      <x:c r="J114" s="59" t="n">
        <x:f>IFERROR(I114/3.3058,"")</x:f>
        <x:v>4.24345090447093</x:v>
      </x:c>
      <x:c r="K114" s="57" t="n">
        <x:f>IFERROR(F114/J114,"")</x:f>
        <x:v>10958.0624465355</x:v>
      </x:c>
      <x:c r="L114" s="59" t="n">
        <x:v>27.72</x:v>
      </x:c>
      <x:c r="M114" s="57" t="n">
        <x:f>IFERROR(F114/(L114/3.3),"")</x:f>
        <x:v>5535.714285714285</x:v>
      </x:c>
      <x:c r="N114" s="55" t="str">
        <x:v>2</x:v>
      </x:c>
      <x:c r="O114" s="57" t="n">
        <x:v>21900</x:v>
      </x:c>
      <x:c r="P114" s="60" t="n">
        <x:f>IFERROR(F114/O114-1,"")</x:f>
        <x:v>1.1232876712328768</x:v>
      </x:c>
      <x:c r="Q114" s="55" t="n">
        <x:v>1997</x:v>
      </x:c>
      <x:c r="R114" s="55" t="str">
        <x:v>비지하</x:v>
      </x:c>
      <x:c r="S114" s="55" t="str">
        <x:v>중개거래</x:v>
      </x:c>
      <x:c r="T114" s="55" t="str">
        <x:v>서울 용산구</x:v>
      </x:c>
      <x:c r="U114" s="55" t="n">
        <x:v>8515738</x:v>
      </x:c>
      <x:c r="V114" s="55" t="str">
        <x:v>활성</x:v>
      </x:c>
    </x:row>
    <x:row r="115">
      <x:c r="A115" s="55" t="n">
        <x:v>111</x:v>
      </x:c>
      <x:c r="B115" s="56" t="n">
        <x:v>45716</x:v>
      </x:c>
      <x:c r="C115" s="61" t="str">
        <x:v>청파동1가 1-16</x:v>
      </x:c>
      <x:c r="D115" s="61" t="str">
        <x:v>가보주택</x:v>
      </x:c>
      <x:c r="E115" s="55" t="str">
        <x:v>다세대주택</x:v>
      </x:c>
      <x:c r="F115" s="57" t="n">
        <x:v>47500</x:v>
      </x:c>
      <x:c r="G115" s="58" t="n">
        <x:f>IFERROR(F115/10000,"")</x:f>
        <x:v>4.75</x:v>
      </x:c>
      <x:c r="H115" s="55" t="str">
        <x:v>다세대</x:v>
      </x:c>
      <x:c r="I115" s="59" t="n">
        <x:v>15.873</x:v>
      </x:c>
      <x:c r="J115" s="59" t="n">
        <x:f>IFERROR(I115/3.3058,"")</x:f>
        <x:v>4.801560892975981</x:v>
      </x:c>
      <x:c r="K115" s="57" t="n">
        <x:f>IFERROR(F115/J115,"")</x:f>
        <x:v>9892.616392616394</x:v>
      </x:c>
      <x:c r="L115" s="59" t="n">
        <x:v>31.36</x:v>
      </x:c>
      <x:c r="M115" s="57" t="n">
        <x:f>IFERROR(F115/(L115/3.3),"")</x:f>
        <x:v>4998.405612244897</x:v>
      </x:c>
      <x:c r="N115" s="55" t="str">
        <x:v>1</x:v>
      </x:c>
      <x:c r="O115" s="57" t="n">
        <x:v>24900</x:v>
      </x:c>
      <x:c r="P115" s="60" t="n">
        <x:f>IFERROR(F115/O115-1,"")</x:f>
        <x:v>0.9076305220883534</x:v>
      </x:c>
      <x:c r="Q115" s="55" t="n">
        <x:v>1997</x:v>
      </x:c>
      <x:c r="R115" s="55" t="str">
        <x:v>비지하</x:v>
      </x:c>
      <x:c r="S115" s="55" t="str">
        <x:v>중개거래</x:v>
      </x:c>
      <x:c r="T115" s="55" t="str">
        <x:v>서울 용산구</x:v>
      </x:c>
      <x:c r="U115" s="55" t="n">
        <x:v>8515737</x:v>
      </x:c>
      <x:c r="V115" s="55" t="str">
        <x:v>활성</x:v>
      </x:c>
    </x:row>
    <x:row r="116">
      <x:c r="A116" s="55" t="n">
        <x:v>112</x:v>
      </x:c>
      <x:c r="B116" s="56" t="n">
        <x:v>45696</x:v>
      </x:c>
      <x:c r="C116" s="61" t="str">
        <x:v>청파동1가 1-5</x:v>
      </x:c>
      <x:c r="D116" s="61" t="str">
        <x:v>대성3차빌라</x:v>
      </x:c>
      <x:c r="E116" s="55" t="str">
        <x:v>다세대주택</x:v>
      </x:c>
      <x:c r="F116" s="57" t="n">
        <x:v>79500</x:v>
      </x:c>
      <x:c r="G116" s="58" t="n">
        <x:f>IFERROR(F116/10000,"")</x:f>
        <x:v>7.95</x:v>
      </x:c>
      <x:c r="H116" s="55" t="str">
        <x:v>연립</x:v>
      </x:c>
      <x:c r="I116" s="59" t="n">
        <x:v>29.61</x:v>
      </x:c>
      <x:c r="J116" s="59" t="n">
        <x:f>IFERROR(I116/3.3058,"")</x:f>
        <x:v>8.956984693568879</x:v>
      </x:c>
      <x:c r="K116" s="57" t="n">
        <x:f>IFERROR(F116/J116,"")</x:f>
        <x:v>8875.754812563324</x:v>
      </x:c>
      <x:c r="L116" s="59" t="n">
        <x:v>73.02</x:v>
      </x:c>
      <x:c r="M116" s="57" t="n">
        <x:f>IFERROR(F116/(L116/3.3),"")</x:f>
        <x:v>3592.8512736236644</x:v>
      </x:c>
      <x:c r="N116" s="55" t="str">
        <x:v>1</x:v>
      </x:c>
      <x:c r="O116" s="57" t="n">
        <x:v>45900</x:v>
      </x:c>
      <x:c r="P116" s="60" t="n">
        <x:f>IFERROR(F116/O116-1,"")</x:f>
        <x:v>0.7320261437908497</x:v>
      </x:c>
      <x:c r="Q116" s="55" t="n">
        <x:v>1999</x:v>
      </x:c>
      <x:c r="R116" s="55" t="str">
        <x:v>비지하</x:v>
      </x:c>
      <x:c r="S116" s="55" t="str">
        <x:v>중개거래</x:v>
      </x:c>
      <x:c r="T116" s="55" t="str">
        <x:v>서울 용산구</x:v>
      </x:c>
      <x:c r="U116" s="55" t="n">
        <x:v>8515766</x:v>
      </x:c>
      <x:c r="V116" s="55" t="str">
        <x:v>활성</x:v>
      </x:c>
    </x:row>
    <x:row r="117">
      <x:c r="A117" s="55" t="n">
        <x:v>113</x:v>
      </x:c>
      <x:c r="B117" s="56" t="n">
        <x:v>45680</x:v>
      </x:c>
      <x:c r="C117" s="61" t="str">
        <x:v>서계동 237-16</x:v>
      </x:c>
      <x:c r="D117" s="61" t="str"/>
      <x:c r="E117" s="55" t="str">
        <x:v>단독주택</x:v>
      </x:c>
      <x:c r="F117" s="57" t="n">
        <x:v>103100</x:v>
      </x:c>
      <x:c r="G117" s="58" t="n">
        <x:f>IFERROR(F117/10000,"")</x:f>
        <x:v>10.31</x:v>
      </x:c>
      <x:c r="H117" s="55" t="str">
        <x:v>단독</x:v>
      </x:c>
      <x:c r="I117" s="59" t="n">
        <x:v>122.3</x:v>
      </x:c>
      <x:c r="J117" s="59" t="n">
        <x:f>IFERROR(I117/3.3058,"")</x:f>
        <x:v>36.99558351987416</x:v>
      </x:c>
      <x:c r="K117" s="57" t="n">
        <x:f>IFERROR(F117/J117,"")</x:f>
        <x:v>2786.819133278823</x:v>
      </x:c>
      <x:c r="L117" s="59" t="n">
        <x:v>151.55</x:v>
      </x:c>
      <x:c r="M117" s="57" t="n">
        <x:f>IFERROR(F117/(L117/3.3),"")</x:f>
        <x:v>2245.001649620587</x:v>
      </x:c>
      <x:c r="N117" s="55" t="str"/>
      <x:c r="O117" s="57" t="n">
        <x:v>84800</x:v>
      </x:c>
      <x:c r="P117" s="60" t="n">
        <x:f>IFERROR(F117/O117-1,"")</x:f>
        <x:v>0.21580188679245293</x:v>
      </x:c>
      <x:c r="Q117" s="55" t="n">
        <x:v>1982</x:v>
      </x:c>
      <x:c r="R117" s="55" t="str"/>
      <x:c r="S117" s="55" t="str">
        <x:v>중개거래</x:v>
      </x:c>
      <x:c r="T117" s="55" t="str">
        <x:v>서울 용산구</x:v>
      </x:c>
      <x:c r="U117" s="55" t="n">
        <x:v>3303596</x:v>
      </x:c>
      <x:c r="V117" s="55" t="str">
        <x:v>활성</x:v>
      </x:c>
    </x:row>
    <x:row r="118">
      <x:c r="A118" s="55" t="n">
        <x:v>114</x:v>
      </x:c>
      <x:c r="B118" s="56" t="n">
        <x:v>45679</x:v>
      </x:c>
      <x:c r="C118" s="61" t="str">
        <x:v>서계동 242-21</x:v>
      </x:c>
      <x:c r="D118" s="61" t="str">
        <x:v>성원주택</x:v>
      </x:c>
      <x:c r="E118" s="55" t="str">
        <x:v>다세대주택</x:v>
      </x:c>
      <x:c r="F118" s="57" t="n">
        <x:v>120000</x:v>
      </x:c>
      <x:c r="G118" s="58" t="n">
        <x:f>IFERROR(F118/10000,"")</x:f>
        <x:v>12</x:v>
      </x:c>
      <x:c r="H118" s="55" t="str">
        <x:v>다세대</x:v>
      </x:c>
      <x:c r="I118" s="59" t="n">
        <x:v>45.78</x:v>
      </x:c>
      <x:c r="J118" s="59" t="n">
        <x:f>IFERROR(I118/3.3058,"")</x:f>
        <x:v>13.84838768225543</x:v>
      </x:c>
      <x:c r="K118" s="57" t="n">
        <x:f>IFERROR(F118/J118,"")</x:f>
        <x:v>8665.26867627785</x:v>
      </x:c>
      <x:c r="L118" s="59" t="n">
        <x:v>71.87</x:v>
      </x:c>
      <x:c r="M118" s="57" t="n">
        <x:f>IFERROR(F118/(L118/3.3),"")</x:f>
        <x:v>5509.948518157785</x:v>
      </x:c>
      <x:c r="N118" s="55" t="str">
        <x:v>1</x:v>
      </x:c>
      <x:c r="O118" s="57" t="n">
        <x:v>82400</x:v>
      </x:c>
      <x:c r="P118" s="60" t="n">
        <x:f>IFERROR(F118/O118-1,"")</x:f>
        <x:v>0.4563106796116505</x:v>
      </x:c>
      <x:c r="Q118" s="55" t="n">
        <x:v>2004</x:v>
      </x:c>
      <x:c r="R118" s="55" t="str">
        <x:v>비지하</x:v>
      </x:c>
      <x:c r="S118" s="55" t="str">
        <x:v>중개거래</x:v>
      </x:c>
      <x:c r="T118" s="55" t="str">
        <x:v>서울 용산구</x:v>
      </x:c>
      <x:c r="U118" s="55" t="n">
        <x:v>8515705</x:v>
      </x:c>
      <x:c r="V118" s="55" t="str">
        <x:v>활성</x:v>
      </x:c>
    </x:row>
    <x:row r="119">
      <x:c r="A119" s="55" t="n">
        <x:v>115</x:v>
      </x:c>
      <x:c r="B119" s="56" t="n">
        <x:v>45652</x:v>
      </x:c>
      <x:c r="C119" s="61" t="str">
        <x:v>서계동 257-2</x:v>
      </x:c>
      <x:c r="D119" s="61" t="str">
        <x:v>(257-2)</x:v>
      </x:c>
      <x:c r="E119" s="55" t="str">
        <x:v>다세대주택</x:v>
      </x:c>
      <x:c r="F119" s="57" t="n">
        <x:v>43000</x:v>
      </x:c>
      <x:c r="G119" s="58" t="n">
        <x:f>IFERROR(F119/10000,"")</x:f>
        <x:v>4.3</x:v>
      </x:c>
      <x:c r="H119" s="55" t="str">
        <x:v>다세대</x:v>
      </x:c>
      <x:c r="I119" s="59" t="n">
        <x:v>9.56</x:v>
      </x:c>
      <x:c r="J119" s="59" t="n">
        <x:f>IFERROR(I119/3.3058,"")</x:f>
        <x:v>2.891886986508561</x:v>
      </x:c>
      <x:c r="K119" s="57" t="n">
        <x:f>IFERROR(F119/J119,"")</x:f>
        <x:v>14869.184100418408</x:v>
      </x:c>
      <x:c r="L119" s="59" t="n">
        <x:v>22.73</x:v>
      </x:c>
      <x:c r="M119" s="57" t="n">
        <x:f>IFERROR(F119/(L119/3.3),"")</x:f>
        <x:v>6242.850857897051</x:v>
      </x:c>
      <x:c r="N119" s="55" t="str">
        <x:v>3</x:v>
      </x:c>
      <x:c r="O119" s="57" t="n">
        <x:v>15300</x:v>
      </x:c>
      <x:c r="P119" s="60" t="n">
        <x:f>IFERROR(F119/O119-1,"")</x:f>
        <x:v>1.810457516339869</x:v>
      </x:c>
      <x:c r="Q119" s="55" t="n">
        <x:v>1998</x:v>
      </x:c>
      <x:c r="R119" s="55" t="str">
        <x:v>비지하</x:v>
      </x:c>
      <x:c r="S119" s="55" t="str">
        <x:v>중개거래</x:v>
      </x:c>
      <x:c r="T119" s="55" t="str">
        <x:v>서울 용산구, 서울 중구</x:v>
      </x:c>
      <x:c r="U119" s="55" t="n">
        <x:v>20296438</x:v>
      </x:c>
      <x:c r="V119" s="55" t="str">
        <x:v>활성</x:v>
      </x:c>
    </x:row>
    <x:row r="120">
      <x:c r="A120" s="55" t="n">
        <x:v>116</x:v>
      </x:c>
      <x:c r="B120" s="56" t="n">
        <x:v>45652</x:v>
      </x:c>
      <x:c r="C120" s="61" t="str">
        <x:v>서계동 252-69</x:v>
      </x:c>
      <x:c r="D120" s="61" t="str">
        <x:v>(252-69)</x:v>
      </x:c>
      <x:c r="E120" s="55" t="str">
        <x:v>다세대주택</x:v>
      </x:c>
      <x:c r="F120" s="57" t="n">
        <x:v>51000</x:v>
      </x:c>
      <x:c r="G120" s="58" t="n">
        <x:f>IFERROR(F120/10000,"")</x:f>
        <x:v>5.1</x:v>
      </x:c>
      <x:c r="H120" s="55" t="str">
        <x:v>다세대</x:v>
      </x:c>
      <x:c r="I120" s="59" t="n">
        <x:v>12.3</x:v>
      </x:c>
      <x:c r="J120" s="59" t="n">
        <x:f>IFERROR(I120/3.3058,"")</x:f>
        <x:v>3.720733256700345</x:v>
      </x:c>
      <x:c r="K120" s="57" t="n">
        <x:f>IFERROR(F120/J120,"")</x:f>
        <x:v>13706.975609756097</x:v>
      </x:c>
      <x:c r="L120" s="59" t="n">
        <x:v>33.34</x:v>
      </x:c>
      <x:c r="M120" s="57" t="n">
        <x:f>IFERROR(F120/(L120/3.3),"")</x:f>
        <x:v>5047.990401919615</x:v>
      </x:c>
      <x:c r="N120" s="55" t="str">
        <x:v>1</x:v>
      </x:c>
      <x:c r="O120" s="57" t="n">
        <x:v>18700</x:v>
      </x:c>
      <x:c r="P120" s="60" t="n">
        <x:f>IFERROR(F120/O120-1,"")</x:f>
        <x:v>1.727272727272727</x:v>
      </x:c>
      <x:c r="Q120" s="55" t="n">
        <x:v>1998</x:v>
      </x:c>
      <x:c r="R120" s="55" t="str">
        <x:v>비지하</x:v>
      </x:c>
      <x:c r="S120" s="55" t="str">
        <x:v>중개거래</x:v>
      </x:c>
      <x:c r="T120" s="55" t="str">
        <x:v>서울 용산구</x:v>
      </x:c>
      <x:c r="U120" s="55" t="n">
        <x:v>20296419</x:v>
      </x:c>
      <x:c r="V120" s="55" t="str">
        <x:v>활성</x:v>
      </x:c>
    </x:row>
    <x:row r="121">
      <x:c r="A121" s="55" t="n">
        <x:v>117</x:v>
      </x:c>
      <x:c r="B121" s="56" t="n">
        <x:v>45649</x:v>
      </x:c>
      <x:c r="C121" s="61" t="str">
        <x:v>서계동 251-12</x:v>
      </x:c>
      <x:c r="D121" s="61" t="str">
        <x:v>(251-12)</x:v>
      </x:c>
      <x:c r="E121" s="55" t="str">
        <x:v>다세대주택</x:v>
      </x:c>
      <x:c r="F121" s="57" t="n">
        <x:v>51000</x:v>
      </x:c>
      <x:c r="G121" s="58" t="n">
        <x:f>IFERROR(F121/10000,"")</x:f>
        <x:v>5.1</x:v>
      </x:c>
      <x:c r="H121" s="55" t="str">
        <x:v>다세대</x:v>
      </x:c>
      <x:c r="I121" s="59" t="n">
        <x:v>10.07</x:v>
      </x:c>
      <x:c r="J121" s="59" t="n">
        <x:f>IFERROR(I121/3.3058,"")</x:f>
        <x:v>3.046161292274185</x:v>
      </x:c>
      <x:c r="K121" s="57" t="n">
        <x:f>IFERROR(F121/J121,"")</x:f>
        <x:v>16742.38331678252</x:v>
      </x:c>
      <x:c r="L121" s="59" t="n">
        <x:v>25.27</x:v>
      </x:c>
      <x:c r="M121" s="57" t="n">
        <x:f>IFERROR(F121/(L121/3.3),"")</x:f>
        <x:v>6660.0712307083495</x:v>
      </x:c>
      <x:c r="N121" s="55" t="str">
        <x:v>3</x:v>
      </x:c>
      <x:c r="O121" s="57" t="n">
        <x:v>17600</x:v>
      </x:c>
      <x:c r="P121" s="60" t="n">
        <x:f>IFERROR(F121/O121-1,"")</x:f>
        <x:v>1.897727272727273</x:v>
      </x:c>
      <x:c r="Q121" s="55" t="n">
        <x:v>1996</x:v>
      </x:c>
      <x:c r="R121" s="55" t="str">
        <x:v>비지하</x:v>
      </x:c>
      <x:c r="S121" s="55" t="str">
        <x:v>중개거래</x:v>
      </x:c>
      <x:c r="T121" s="55" t="str">
        <x:v>서울 용산구, 서울 종로구</x:v>
      </x:c>
      <x:c r="U121" s="55" t="n">
        <x:v>20296436</x:v>
      </x:c>
      <x:c r="V121" s="55" t="str">
        <x:v>활성</x:v>
      </x:c>
    </x:row>
    <x:row r="122">
      <x:c r="A122" s="55" t="n">
        <x:v>118</x:v>
      </x:c>
      <x:c r="B122" s="56" t="n">
        <x:v>45645</x:v>
      </x:c>
      <x:c r="C122" s="61" t="str">
        <x:v>서계동 257-4</x:v>
      </x:c>
      <x:c r="D122" s="61" t="str">
        <x:v>(257-4)</x:v>
      </x:c>
      <x:c r="E122" s="55" t="str">
        <x:v>다세대주택</x:v>
      </x:c>
      <x:c r="F122" s="57" t="n">
        <x:v>51000</x:v>
      </x:c>
      <x:c r="G122" s="58" t="n">
        <x:f>IFERROR(F122/10000,"")</x:f>
        <x:v>5.1</x:v>
      </x:c>
      <x:c r="H122" s="55" t="str">
        <x:v>다세대</x:v>
      </x:c>
      <x:c r="I122" s="59" t="n">
        <x:v>11.98</x:v>
      </x:c>
      <x:c r="J122" s="59" t="n">
        <x:f>IFERROR(I122/3.3058,"")</x:f>
        <x:v>3.623933692298385</x:v>
      </x:c>
      <x:c r="K122" s="57" t="n">
        <x:f>IFERROR(F122/J122,"")</x:f>
        <x:v>14073.105175292152</x:v>
      </x:c>
      <x:c r="L122" s="59" t="n">
        <x:v>35.3</x:v>
      </x:c>
      <x:c r="M122" s="57" t="n">
        <x:f>IFERROR(F122/(L122/3.3),"")</x:f>
        <x:v>4767.70538243626</x:v>
      </x:c>
      <x:c r="N122" s="55" t="str">
        <x:v>4</x:v>
      </x:c>
      <x:c r="O122" s="57" t="n">
        <x:v>19900</x:v>
      </x:c>
      <x:c r="P122" s="60" t="n">
        <x:f>IFERROR(F122/O122-1,"")</x:f>
        <x:v>1.562814070351759</x:v>
      </x:c>
      <x:c r="Q122" s="55" t="n">
        <x:v>1998</x:v>
      </x:c>
      <x:c r="R122" s="55" t="str">
        <x:v>비지하</x:v>
      </x:c>
      <x:c r="S122" s="55" t="str">
        <x:v>중개거래</x:v>
      </x:c>
      <x:c r="T122" s="55" t="str">
        <x:v>서울 성동구, 서울 용산구</x:v>
      </x:c>
      <x:c r="U122" s="55" t="n">
        <x:v>20296427</x:v>
      </x:c>
      <x:c r="V122" s="55" t="str">
        <x:v>활성</x:v>
      </x:c>
    </x:row>
    <x:row r="123">
      <x:c r="A123" s="55" t="n">
        <x:v>119</x:v>
      </x:c>
      <x:c r="B123" s="56" t="n">
        <x:v>45611</x:v>
      </x:c>
      <x:c r="C123" s="61" t="str">
        <x:v>서계동 251-54</x:v>
      </x:c>
      <x:c r="D123" s="61" t="str">
        <x:v>(251-54)</x:v>
      </x:c>
      <x:c r="E123" s="55" t="str">
        <x:v>다세대주택</x:v>
      </x:c>
      <x:c r="F123" s="57" t="n">
        <x:v>74000</x:v>
      </x:c>
      <x:c r="G123" s="58" t="n">
        <x:f>IFERROR(F123/10000,"")</x:f>
        <x:v>7.4</x:v>
      </x:c>
      <x:c r="H123" s="55" t="str">
        <x:v>다세대</x:v>
      </x:c>
      <x:c r="I123" s="59" t="n">
        <x:v>26.45</x:v>
      </x:c>
      <x:c r="J123" s="59" t="n">
        <x:f>IFERROR(I123/3.3058,"")</x:f>
        <x:v>8.001088995099522</x:v>
      </x:c>
      <x:c r="K123" s="57" t="n">
        <x:f>IFERROR(F123/J123,"")</x:f>
        <x:v>9248.74102079395</x:v>
      </x:c>
      <x:c r="L123" s="59" t="n">
        <x:v>56.02</x:v>
      </x:c>
      <x:c r="M123" s="57" t="n">
        <x:f>IFERROR(F123/(L123/3.3),"")</x:f>
        <x:v>4359.157443770082</x:v>
      </x:c>
      <x:c r="N123" s="55" t="str">
        <x:v>1</x:v>
      </x:c>
      <x:c r="O123" s="57" t="n">
        <x:v>52800</x:v>
      </x:c>
      <x:c r="P123" s="60" t="n">
        <x:f>IFERROR(F123/O123-1,"")</x:f>
        <x:v>0.4015151515151516</x:v>
      </x:c>
      <x:c r="Q123" s="55" t="n">
        <x:v>2009</x:v>
      </x:c>
      <x:c r="R123" s="55" t="str">
        <x:v>비지하</x:v>
      </x:c>
      <x:c r="S123" s="55" t="str">
        <x:v>중개거래</x:v>
      </x:c>
      <x:c r="T123" s="55" t="str">
        <x:v>서울 용산구</x:v>
      </x:c>
      <x:c r="U123" s="55" t="n">
        <x:v>20296386</x:v>
      </x:c>
      <x:c r="V123" s="55" t="str">
        <x:v>활성</x:v>
      </x:c>
    </x:row>
    <x:row r="124">
      <x:c r="A124" s="55" t="n">
        <x:v>120</x:v>
      </x:c>
      <x:c r="B124" s="56" t="n">
        <x:v>45604</x:v>
      </x:c>
      <x:c r="C124" s="61" t="str">
        <x:v>서계동 245-11</x:v>
      </x:c>
      <x:c r="D124" s="61" t="str">
        <x:v>(245-11)</x:v>
      </x:c>
      <x:c r="E124" s="55" t="str">
        <x:v>다세대주택</x:v>
      </x:c>
      <x:c r="F124" s="57" t="n">
        <x:v>44500</x:v>
      </x:c>
      <x:c r="G124" s="58" t="n">
        <x:f>IFERROR(F124/10000,"")</x:f>
        <x:v>4.45</x:v>
      </x:c>
      <x:c r="H124" s="55" t="str">
        <x:v>다세대</x:v>
      </x:c>
      <x:c r="I124" s="59" t="n">
        <x:v>9.91</x:v>
      </x:c>
      <x:c r="J124" s="59" t="n">
        <x:f>IFERROR(I124/3.3058,"")</x:f>
        <x:v>2.9977615100732047</x:v>
      </x:c>
      <x:c r="K124" s="57" t="n">
        <x:f>IFERROR(F124/J124,"")</x:f>
        <x:v>14844.409687184661</x:v>
      </x:c>
      <x:c r="L124" s="59" t="n">
        <x:v>19.8</x:v>
      </x:c>
      <x:c r="M124" s="57" t="n">
        <x:f>IFERROR(F124/(L124/3.3),"")</x:f>
        <x:v>7416.666666666665</x:v>
      </x:c>
      <x:c r="N124" s="55" t="str">
        <x:v>-1</x:v>
      </x:c>
      <x:c r="O124" s="57" t="n">
        <x:v>11900</x:v>
      </x:c>
      <x:c r="P124" s="60" t="n">
        <x:f>IFERROR(F124/O124-1,"")</x:f>
        <x:v>2.7394957983193278</x:v>
      </x:c>
      <x:c r="Q124" s="55" t="n">
        <x:v>1996</x:v>
      </x:c>
      <x:c r="R124" s="55" t="str">
        <x:v>지하</x:v>
      </x:c>
      <x:c r="S124" s="55" t="str">
        <x:v>중개거래</x:v>
      </x:c>
      <x:c r="T124" s="55" t="str">
        <x:v>서울 용산구</x:v>
      </x:c>
      <x:c r="U124" s="55" t="n">
        <x:v>20296411</x:v>
      </x:c>
      <x:c r="V124" s="55" t="str">
        <x:v>활성</x:v>
      </x:c>
    </x:row>
    <x:row r="125">
      <x:c r="A125" s="55" t="n">
        <x:v>121</x:v>
      </x:c>
      <x:c r="B125" s="56" t="n">
        <x:v>45577</x:v>
      </x:c>
      <x:c r="C125" s="61" t="str">
        <x:v>서계동 251-3</x:v>
      </x:c>
      <x:c r="D125" s="61" t="str">
        <x:v>(251-3)</x:v>
      </x:c>
      <x:c r="E125" s="55" t="str">
        <x:v>다세대주택</x:v>
      </x:c>
      <x:c r="F125" s="57" t="n">
        <x:v>72000</x:v>
      </x:c>
      <x:c r="G125" s="58" t="n">
        <x:f>IFERROR(F125/10000,"")</x:f>
        <x:v>7.2</x:v>
      </x:c>
      <x:c r="H125" s="55" t="str">
        <x:v>다세대</x:v>
      </x:c>
      <x:c r="I125" s="59" t="n">
        <x:v>31.58</x:v>
      </x:c>
      <x:c r="J125" s="59" t="n">
        <x:f>IFERROR(I125/3.3058,"")</x:f>
        <x:v>9.552907011918446</x:v>
      </x:c>
      <x:c r="K125" s="57" t="n">
        <x:f>IFERROR(F125/J125,"")</x:f>
        <x:v>7536.972767574414</x:v>
      </x:c>
      <x:c r="L125" s="59" t="n">
        <x:v>59.94</x:v>
      </x:c>
      <x:c r="M125" s="57" t="n">
        <x:f>IFERROR(F125/(L125/3.3),"")</x:f>
        <x:v>3963.963963963964</x:v>
      </x:c>
      <x:c r="N125" s="55" t="str">
        <x:v>2</x:v>
      </x:c>
      <x:c r="O125" s="57" t="n">
        <x:v>51800</x:v>
      </x:c>
      <x:c r="P125" s="60" t="n">
        <x:f>IFERROR(F125/O125-1,"")</x:f>
        <x:v>0.38996138996139007</x:v>
      </x:c>
      <x:c r="Q125" s="55" t="n">
        <x:v>1996</x:v>
      </x:c>
      <x:c r="R125" s="55" t="str">
        <x:v>비지하</x:v>
      </x:c>
      <x:c r="S125" s="55" t="str">
        <x:v>중개거래</x:v>
      </x:c>
      <x:c r="T125" s="55" t="str">
        <x:v>서울 용산구</x:v>
      </x:c>
      <x:c r="U125" s="55" t="n">
        <x:v>20296337</x:v>
      </x:c>
      <x:c r="V125" s="55" t="str">
        <x:v>활성</x:v>
      </x:c>
    </x:row>
    <x:row r="126">
      <x:c r="A126" s="55" t="n">
        <x:v>122</x:v>
      </x:c>
      <x:c r="B126" s="56" t="n">
        <x:v>45572</x:v>
      </x:c>
      <x:c r="C126" s="61" t="str">
        <x:v>서계동 245-11</x:v>
      </x:c>
      <x:c r="D126" s="61" t="str">
        <x:v>(245-11)</x:v>
      </x:c>
      <x:c r="E126" s="55" t="str">
        <x:v>다세대주택</x:v>
      </x:c>
      <x:c r="F126" s="57" t="n">
        <x:v>69000</x:v>
      </x:c>
      <x:c r="G126" s="58" t="n">
        <x:f>IFERROR(F126/10000,"")</x:f>
        <x:v>6.9</x:v>
      </x:c>
      <x:c r="H126" s="55" t="str">
        <x:v>다세대</x:v>
      </x:c>
      <x:c r="I126" s="59" t="n">
        <x:v>22.265</x:v>
      </x:c>
      <x:c r="J126" s="59" t="n">
        <x:f>IFERROR(I126/3.3058,"")</x:f>
        <x:v>6.735132191905136</x:v>
      </x:c>
      <x:c r="K126" s="57" t="n">
        <x:f>IFERROR(F126/J126,"")</x:f>
        <x:v>10244.787783516731</x:v>
      </x:c>
      <x:c r="L126" s="59" t="n">
        <x:v>44.48</x:v>
      </x:c>
      <x:c r="M126" s="57" t="n">
        <x:f>IFERROR(F126/(L126/3.3),"")</x:f>
        <x:v>5119.154676258993</x:v>
      </x:c>
      <x:c r="N126" s="55" t="str">
        <x:v>3</x:v>
      </x:c>
      <x:c r="O126" s="57" t="n">
        <x:v>35800</x:v>
      </x:c>
      <x:c r="P126" s="60" t="n">
        <x:f>IFERROR(F126/O126-1,"")</x:f>
        <x:v>0.9273743016759777</x:v>
      </x:c>
      <x:c r="Q126" s="55" t="n">
        <x:v>1996</x:v>
      </x:c>
      <x:c r="R126" s="55" t="str">
        <x:v>비지하</x:v>
      </x:c>
      <x:c r="S126" s="55" t="str">
        <x:v>중개거래</x:v>
      </x:c>
      <x:c r="T126" s="55" t="str">
        <x:v>서울 용산구</x:v>
      </x:c>
      <x:c r="U126" s="55" t="n">
        <x:v>20296348</x:v>
      </x:c>
      <x:c r="V126" s="55" t="str">
        <x:v>활성</x:v>
      </x:c>
    </x:row>
    <x:row r="127">
      <x:c r="A127" s="55" t="n">
        <x:v>123</x:v>
      </x:c>
      <x:c r="B127" s="56" t="n">
        <x:v>45537</x:v>
      </x:c>
      <x:c r="C127" s="61" t="str">
        <x:v>서계동 257-2</x:v>
      </x:c>
      <x:c r="D127" s="61" t="str">
        <x:v>(257-2)</x:v>
      </x:c>
      <x:c r="E127" s="55" t="str">
        <x:v>다세대주택</x:v>
      </x:c>
      <x:c r="F127" s="57" t="n">
        <x:v>41800</x:v>
      </x:c>
      <x:c r="G127" s="58" t="n">
        <x:f>IFERROR(F127/10000,"")</x:f>
        <x:v>4.18</x:v>
      </x:c>
      <x:c r="H127" s="55" t="str">
        <x:v>다세대</x:v>
      </x:c>
      <x:c r="I127" s="59" t="n">
        <x:v>9.56</x:v>
      </x:c>
      <x:c r="J127" s="59" t="n">
        <x:f>IFERROR(I127/3.3058,"")</x:f>
        <x:v>2.891886986508561</x:v>
      </x:c>
      <x:c r="K127" s="57" t="n">
        <x:f>IFERROR(F127/J127,"")</x:f>
        <x:v>14454.23012552301</x:v>
      </x:c>
      <x:c r="L127" s="59" t="n">
        <x:v>22.73</x:v>
      </x:c>
      <x:c r="M127" s="57" t="n">
        <x:f>IFERROR(F127/(L127/3.3),"")</x:f>
        <x:v>6068.631764188297</x:v>
      </x:c>
      <x:c r="N127" s="55" t="str">
        <x:v>1</x:v>
      </x:c>
      <x:c r="O127" s="57" t="n">
        <x:v>15300</x:v>
      </x:c>
      <x:c r="P127" s="60" t="n">
        <x:f>IFERROR(F127/O127-1,"")</x:f>
        <x:v>1.7320261437908497</x:v>
      </x:c>
      <x:c r="Q127" s="55" t="n">
        <x:v>1998</x:v>
      </x:c>
      <x:c r="R127" s="55" t="str">
        <x:v>비지하</x:v>
      </x:c>
      <x:c r="S127" s="55" t="str">
        <x:v>중개거래</x:v>
      </x:c>
      <x:c r="T127" s="55" t="str">
        <x:v>서울 용산구</x:v>
      </x:c>
      <x:c r="U127" s="55" t="n">
        <x:v>20296296</x:v>
      </x:c>
      <x:c r="V127" s="55" t="str">
        <x:v>활성</x:v>
      </x:c>
    </x:row>
  </x:sheetData>
  <x:mergeCells>
    <x:mergeCell ref="A1:V1"/>
    <x:mergeCell ref="A2:V2"/>
  </x:mergeCells>
  <x:pageMargins left="0.7" right="0.7" top="0.75" bottom="0.75" header="0.3" footer="0.3"/>
  <x:tableParts count="1">
    <x:tablePart xmlns:r="http://schemas.openxmlformats.org/officeDocument/2006/relationships" r:id="Rf424eb6e72f7438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3" hidden="0" customWidth="1"/>
    <x:col min="3" max="3" width="22" hidden="0" customWidth="1"/>
    <x:col min="4" max="4" width="20" hidden="0" customWidth="1"/>
    <x:col min="5" max="5" width="14" hidden="0" customWidth="1"/>
    <x:col min="6" max="6" width="15" hidden="0" customWidth="1"/>
    <x:col min="7" max="7" width="14" hidden="0" customWidth="1"/>
    <x:col min="8" max="8" width="12" hidden="0" customWidth="1"/>
    <x:col min="9" max="9" width="14" hidden="0" customWidth="1"/>
    <x:col min="10" max="10" width="13" hidden="0" customWidth="1"/>
    <x:col min="11" max="11" width="16" hidden="0" customWidth="1"/>
    <x:col min="12" max="12" width="16" hidden="0" customWidth="1"/>
    <x:col min="13" max="13" width="16" hidden="0" customWidth="1"/>
    <x:col min="14" max="14" width="8" hidden="0" customWidth="1"/>
    <x:col min="15" max="15" width="15" hidden="0" customWidth="1"/>
    <x:col min="16" max="16" width="14" hidden="0" customWidth="1"/>
    <x:col min="17" max="17" width="11" hidden="0" customWidth="1"/>
    <x:col min="18" max="18" width="10" hidden="0" customWidth="1"/>
    <x:col min="19" max="19" width="10" hidden="0" customWidth="1"/>
    <x:col min="20" max="20" width="22" hidden="0" customWidth="1"/>
    <x:col min="21" max="21" width="12" hidden="0" customWidth="1"/>
    <x:col min="22" max="22" width="12" hidden="0" customWidth="1"/>
  </x:cols>
  <x:sheetData>
    <x:row r="1" ht="28" customHeight="1">
      <x:c r="A1" s="4" t="str">
        <x:v>청파2 실거래가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</x:row>
    <x:row r="2" ht="32" customHeight="1">
      <x:c r="A2" s="52" t="str">
        <x:v>구역 경계 기반 활성 거래 · 취소·중복 제외 · 계약일 최신순</x:v>
      </x:c>
      <x:c r="B2" s="52"/>
      <x:c r="C2" s="52"/>
      <x:c r="D2" s="52"/>
      <x:c r="E2" s="52"/>
      <x:c r="F2" s="52"/>
      <x:c r="G2" s="52"/>
      <x:c r="H2" s="52"/>
      <x:c r="I2" s="52"/>
      <x:c r="J2" s="52"/>
      <x:c r="K2" s="52"/>
      <x:c r="L2" s="52"/>
      <x:c r="M2" s="52"/>
      <x:c r="N2" s="52"/>
      <x:c r="O2" s="52"/>
      <x:c r="P2" s="52"/>
      <x:c r="Q2" s="52"/>
      <x:c r="R2" s="52"/>
      <x:c r="S2" s="52"/>
      <x:c r="T2" s="52"/>
      <x:c r="U2" s="52"/>
      <x:c r="V2" s="52"/>
    </x:row>
    <x:row r="4">
      <x:c r="A4" s="13" t="str">
        <x:v>순번</x:v>
      </x:c>
      <x:c r="B4" s="13" t="str">
        <x:v>계약일</x:v>
      </x:c>
      <x:c r="C4" s="13" t="str">
        <x:v>지번</x:v>
      </x:c>
      <x:c r="D4" s="13" t="str">
        <x:v>건물명</x:v>
      </x:c>
      <x:c r="E4" s="13" t="str">
        <x:v>건물 유형</x:v>
      </x:c>
      <x:c r="F4" s="13" t="str">
        <x:v>거래금액 (만원)</x:v>
      </x:c>
      <x:c r="G4" s="13" t="str">
        <x:v>거래금액 (억원)</x:v>
      </x:c>
      <x:c r="H4" s="13" t="str">
        <x:v>주택 유형</x:v>
      </x:c>
      <x:c r="I4" s="13" t="str">
        <x:v>대지지분 (㎡)</x:v>
      </x:c>
      <x:c r="J4" s="13" t="str">
        <x:v>대지지분 (평)</x:v>
      </x:c>
      <x:c r="K4" s="13" t="str">
        <x:v>대지평단가 (만원)</x:v>
      </x:c>
      <x:c r="L4" s="13" t="str">
        <x:v>전용/연면적 (㎡)</x:v>
      </x:c>
      <x:c r="M4" s="13" t="str">
        <x:v>전용평단가 (만원)</x:v>
      </x:c>
      <x:c r="N4" s="13" t="str">
        <x:v>층</x:v>
      </x:c>
      <x:c r="O4" s="13" t="str">
        <x:v>공시가격 (만원)</x:v>
      </x:c>
      <x:c r="P4" s="13" t="str">
        <x:v>공시가 초과율</x:v>
      </x:c>
      <x:c r="Q4" s="13" t="str">
        <x:v>신축연도</x:v>
      </x:c>
      <x:c r="R4" s="13" t="str">
        <x:v>지하 여부</x:v>
      </x:c>
      <x:c r="S4" s="13" t="str">
        <x:v>직거래</x:v>
      </x:c>
      <x:c r="T4" s="13" t="str">
        <x:v>중개 소재지</x:v>
      </x:c>
      <x:c r="U4" s="13" t="str">
        <x:v>거래 ID</x:v>
      </x:c>
      <x:c r="V4" s="13" t="str">
        <x:v>상태</x:v>
      </x:c>
    </x:row>
    <x:row r="5">
      <x:c r="A5" s="55" t="n">
        <x:v>1</x:v>
      </x:c>
      <x:c r="B5" s="56" t="n">
        <x:v>46256</x:v>
      </x:c>
      <x:c r="C5" s="61" t="str">
        <x:v>청파동1가 89-34</x:v>
      </x:c>
      <x:c r="D5" s="61" t="str">
        <x:v>으뜸아트빌리지</x:v>
      </x:c>
      <x:c r="E5" s="55" t="str">
        <x:v>다세대주택</x:v>
      </x:c>
      <x:c r="F5" s="57" t="n">
        <x:v>113000</x:v>
      </x:c>
      <x:c r="G5" s="58" t="n">
        <x:f>IFERROR(F5/10000,"")</x:f>
        <x:v>11.3</x:v>
      </x:c>
      <x:c r="H5" s="55" t="str">
        <x:v>연립</x:v>
      </x:c>
      <x:c r="I5" s="59" t="n">
        <x:v>35.84</x:v>
      </x:c>
      <x:c r="J5" s="59" t="n">
        <x:f>IFERROR(I5/3.3058,"")</x:f>
        <x:v>10.841551213019542</x:v>
      </x:c>
      <x:c r="K5" s="57" t="n">
        <x:f>IFERROR(F5/J5,"")</x:f>
        <x:v>10422.862723214284</x:v>
      </x:c>
      <x:c r="L5" s="59" t="n">
        <x:v>55.59</x:v>
      </x:c>
      <x:c r="M5" s="57" t="n">
        <x:f>IFERROR(F5/(L5/3.3),"")</x:f>
        <x:v>6708.041014570965</x:v>
      </x:c>
      <x:c r="N5" s="55" t="str">
        <x:v>2</x:v>
      </x:c>
      <x:c r="O5" s="57" t="n">
        <x:v>41300</x:v>
      </x:c>
      <x:c r="P5" s="60" t="n">
        <x:f>IFERROR(F5/O5-1,"")</x:f>
        <x:v>1.7360774818401938</x:v>
      </x:c>
      <x:c r="Q5" s="55" t="n">
        <x:v>1997</x:v>
      </x:c>
      <x:c r="R5" s="55" t="str">
        <x:v>비지하</x:v>
      </x:c>
      <x:c r="S5" s="55" t="str">
        <x:v>중개거래</x:v>
      </x:c>
      <x:c r="T5" s="55" t="str">
        <x:v>서울 용산구</x:v>
      </x:c>
      <x:c r="U5" s="55" t="n">
        <x:v>30144339</x:v>
      </x:c>
      <x:c r="V5" s="55" t="str">
        <x:v>활성</x:v>
      </x:c>
    </x:row>
    <x:row r="6">
      <x:c r="A6" s="55" t="n">
        <x:v>2</x:v>
      </x:c>
      <x:c r="B6" s="56" t="n">
        <x:v>46247</x:v>
      </x:c>
      <x:c r="C6" s="61" t="str">
        <x:v>청파동1가 89-107</x:v>
      </x:c>
      <x:c r="D6" s="61" t="str"/>
      <x:c r="E6" s="55" t="str">
        <x:v>토지</x:v>
      </x:c>
      <x:c r="F6" s="57" t="n">
        <x:v>5000</x:v>
      </x:c>
      <x:c r="G6" s="58" t="n">
        <x:f>IFERROR(F6/10000,"")</x:f>
        <x:v>0.5</x:v>
      </x:c>
      <x:c r="H6" s="55" t="str"/>
      <x:c r="I6" s="59" t="n">
        <x:v>13.2</x:v>
      </x:c>
      <x:c r="J6" s="59" t="n">
        <x:f>IFERROR(I6/3.3058,"")</x:f>
        <x:v>3.9929820315808575</x:v>
      </x:c>
      <x:c r="K6" s="57" t="n">
        <x:f>IFERROR(F6/J6,"")</x:f>
        <x:v>1252.1969696969697</x:v>
      </x:c>
      <x:c r="L6" s="59"/>
      <x:c r="M6" s="57" t="str">
        <x:f>IFERROR(F6/(L6/3.3),"")</x:f>
      </x:c>
      <x:c r="N6" s="55" t="str"/>
      <x:c r="O6" s="57"/>
      <x:c r="P6" s="60" t="str">
        <x:f>IFERROR(F6/O6-1,"")</x:f>
      </x:c>
      <x:c r="Q6" s="55"/>
      <x:c r="R6" s="55" t="str"/>
      <x:c r="S6" s="55" t="str">
        <x:v>중개거래</x:v>
      </x:c>
      <x:c r="T6" s="55" t="str">
        <x:v>서울 용산구</x:v>
      </x:c>
      <x:c r="U6" s="55" t="n">
        <x:v>30150350</x:v>
      </x:c>
      <x:c r="V6" s="55" t="str">
        <x:v>활성</x:v>
      </x:c>
    </x:row>
    <x:row r="7">
      <x:c r="A7" s="55" t="n">
        <x:v>3</x:v>
      </x:c>
      <x:c r="B7" s="56" t="n">
        <x:v>46247</x:v>
      </x:c>
      <x:c r="C7" s="61" t="str">
        <x:v>청파동1가 89-106</x:v>
      </x:c>
      <x:c r="D7" s="61" t="str"/>
      <x:c r="E7" s="55" t="str">
        <x:v>단독주택</x:v>
      </x:c>
      <x:c r="F7" s="57" t="n">
        <x:v>130000</x:v>
      </x:c>
      <x:c r="G7" s="58" t="n">
        <x:f>IFERROR(F7/10000,"")</x:f>
        <x:v>13</x:v>
      </x:c>
      <x:c r="H7" s="55" t="str">
        <x:v>단독</x:v>
      </x:c>
      <x:c r="I7" s="59" t="n">
        <x:v>86</x:v>
      </x:c>
      <x:c r="J7" s="59" t="n">
        <x:f>IFERROR(I7/3.3058,"")</x:f>
        <x:v>26.0148829330268</x:v>
      </x:c>
      <x:c r="K7" s="57" t="n">
        <x:f>IFERROR(F7/J7,"")</x:f>
        <x:v>4997.139534883721</x:v>
      </x:c>
      <x:c r="L7" s="59" t="n">
        <x:v>142.15</x:v>
      </x:c>
      <x:c r="M7" s="57" t="n">
        <x:f>IFERROR(F7/(L7/3.3),"")</x:f>
        <x:v>3017.9387970453745</x:v>
      </x:c>
      <x:c r="N7" s="55" t="str"/>
      <x:c r="O7" s="57" t="n">
        <x:v>41800</x:v>
      </x:c>
      <x:c r="P7" s="60" t="n">
        <x:f>IFERROR(F7/O7-1,"")</x:f>
        <x:v>2.110047846889952</x:v>
      </x:c>
      <x:c r="Q7" s="55" t="n">
        <x:v>1963</x:v>
      </x:c>
      <x:c r="R7" s="55" t="str"/>
      <x:c r="S7" s="55" t="str">
        <x:v>중개거래</x:v>
      </x:c>
      <x:c r="T7" s="55" t="str">
        <x:v>서울 용산구</x:v>
      </x:c>
      <x:c r="U7" s="55" t="n">
        <x:v>30146342</x:v>
      </x:c>
      <x:c r="V7" s="55" t="str">
        <x:v>활성</x:v>
      </x:c>
    </x:row>
    <x:row r="8">
      <x:c r="A8" s="55" t="n">
        <x:v>4</x:v>
      </x:c>
      <x:c r="B8" s="56" t="n">
        <x:v>46225</x:v>
      </x:c>
      <x:c r="C8" s="61" t="str">
        <x:v>청파동1가 1-61</x:v>
      </x:c>
      <x:c r="D8" s="61" t="str">
        <x:v>대성그린빌라</x:v>
      </x:c>
      <x:c r="E8" s="55" t="str">
        <x:v>다세대주택</x:v>
      </x:c>
      <x:c r="F8" s="57" t="n">
        <x:v>109000</x:v>
      </x:c>
      <x:c r="G8" s="58" t="n">
        <x:f>IFERROR(F8/10000,"")</x:f>
        <x:v>10.9</x:v>
      </x:c>
      <x:c r="H8" s="55" t="str">
        <x:v>연립</x:v>
      </x:c>
      <x:c r="I8" s="59" t="n">
        <x:v>31.1</x:v>
      </x:c>
      <x:c r="J8" s="59" t="n">
        <x:f>IFERROR(I8/3.3058,"")</x:f>
        <x:v>9.407707665315506</x:v>
      </x:c>
      <x:c r="K8" s="57" t="n">
        <x:f>IFERROR(F8/J8,"")</x:f>
        <x:v>11586.244372990353</x:v>
      </x:c>
      <x:c r="L8" s="59" t="n">
        <x:v>62.8</x:v>
      </x:c>
      <x:c r="M8" s="57" t="n">
        <x:f>IFERROR(F8/(L8/3.3),"")</x:f>
        <x:v>5727.707006369426</x:v>
      </x:c>
      <x:c r="N8" s="55" t="str">
        <x:v>2</x:v>
      </x:c>
      <x:c r="O8" s="57" t="n">
        <x:v>41200</x:v>
      </x:c>
      <x:c r="P8" s="60" t="n">
        <x:f>IFERROR(F8/O8-1,"")</x:f>
        <x:v>1.645631067961165</x:v>
      </x:c>
      <x:c r="Q8" s="55" t="n">
        <x:v>1997</x:v>
      </x:c>
      <x:c r="R8" s="55" t="str">
        <x:v>비지하</x:v>
      </x:c>
      <x:c r="S8" s="55" t="str">
        <x:v>중개거래</x:v>
      </x:c>
      <x:c r="T8" s="55" t="str">
        <x:v>서울 용산구</x:v>
      </x:c>
      <x:c r="U8" s="55" t="n">
        <x:v>30156236</x:v>
      </x:c>
      <x:c r="V8" s="55" t="str">
        <x:v>활성</x:v>
      </x:c>
    </x:row>
    <x:row r="9">
      <x:c r="A9" s="55" t="n">
        <x:v>5</x:v>
      </x:c>
      <x:c r="B9" s="56" t="n">
        <x:v>46216</x:v>
      </x:c>
      <x:c r="C9" s="61" t="str">
        <x:v>청파동1가 89-5</x:v>
      </x:c>
      <x:c r="D9" s="61" t="str">
        <x:v>동궁빌라</x:v>
      </x:c>
      <x:c r="E9" s="55" t="str">
        <x:v>다세대주택</x:v>
      </x:c>
      <x:c r="F9" s="57" t="n">
        <x:v>139000</x:v>
      </x:c>
      <x:c r="G9" s="58" t="n">
        <x:f>IFERROR(F9/10000,"")</x:f>
        <x:v>13.9</x:v>
      </x:c>
      <x:c r="H9" s="55" t="str">
        <x:v>다세대</x:v>
      </x:c>
      <x:c r="I9" s="59" t="n">
        <x:v>46.252</x:v>
      </x:c>
      <x:c r="J9" s="59" t="n">
        <x:f>IFERROR(I9/3.3058,"")</x:f>
        <x:v>13.991167039748321</x:v>
      </x:c>
      <x:c r="K9" s="57" t="n">
        <x:f>IFERROR(F9/J9,"")</x:f>
        <x:v>9934.839574504886</x:v>
      </x:c>
      <x:c r="L9" s="59" t="n">
        <x:v>69.85</x:v>
      </x:c>
      <x:c r="M9" s="57" t="n">
        <x:f>IFERROR(F9/(L9/3.3),"")</x:f>
        <x:v>6566.929133858267</x:v>
      </x:c>
      <x:c r="N9" s="55" t="str">
        <x:v>4</x:v>
      </x:c>
      <x:c r="O9" s="57" t="n">
        <x:v>64500</x:v>
      </x:c>
      <x:c r="P9" s="60" t="n">
        <x:f>IFERROR(F9/O9-1,"")</x:f>
        <x:v>1.1550387596899223</x:v>
      </x:c>
      <x:c r="Q9" s="55" t="n">
        <x:v>2009</x:v>
      </x:c>
      <x:c r="R9" s="55" t="str">
        <x:v>비지하</x:v>
      </x:c>
      <x:c r="S9" s="55" t="str">
        <x:v>중개거래</x:v>
      </x:c>
      <x:c r="T9" s="55" t="str">
        <x:v>서울 마포구, 서울 용산구</x:v>
      </x:c>
      <x:c r="U9" s="55" t="n">
        <x:v>30156250</x:v>
      </x:c>
      <x:c r="V9" s="55" t="str">
        <x:v>활성</x:v>
      </x:c>
    </x:row>
    <x:row r="10">
      <x:c r="A10" s="55" t="n">
        <x:v>6</x:v>
      </x:c>
      <x:c r="B10" s="56" t="n">
        <x:v>46198</x:v>
      </x:c>
      <x:c r="C10" s="61" t="str">
        <x:v>청파동1가 3-2</x:v>
      </x:c>
      <x:c r="D10" s="61" t="str">
        <x:v>차세대빌라트</x:v>
      </x:c>
      <x:c r="E10" s="55" t="str">
        <x:v>다세대주택</x:v>
      </x:c>
      <x:c r="F10" s="57" t="n">
        <x:v>97000</x:v>
      </x:c>
      <x:c r="G10" s="58" t="n">
        <x:f>IFERROR(F10/10000,"")</x:f>
        <x:v>9.7</x:v>
      </x:c>
      <x:c r="H10" s="55" t="str">
        <x:v>연립</x:v>
      </x:c>
      <x:c r="I10" s="59" t="n">
        <x:v>33.12</x:v>
      </x:c>
      <x:c r="J10" s="59" t="n">
        <x:f>IFERROR(I10/3.3058,"")</x:f>
        <x:v>10.018754915602878</x:v>
      </x:c>
      <x:c r="K10" s="57" t="n">
        <x:f>IFERROR(F10/J10,"")</x:f>
        <x:v>9681.841787439615</x:v>
      </x:c>
      <x:c r="L10" s="59" t="n">
        <x:v>54.5</x:v>
      </x:c>
      <x:c r="M10" s="57" t="n">
        <x:f>IFERROR(F10/(L10/3.3),"")</x:f>
        <x:v>5873.394495412844</x:v>
      </x:c>
      <x:c r="N10" s="55" t="str">
        <x:v>3</x:v>
      </x:c>
      <x:c r="O10" s="57" t="n">
        <x:v>42000</x:v>
      </x:c>
      <x:c r="P10" s="60" t="n">
        <x:f>IFERROR(F10/O10-1,"")</x:f>
        <x:v>1.3095238095238093</x:v>
      </x:c>
      <x:c r="Q10" s="55" t="n">
        <x:v>1998</x:v>
      </x:c>
      <x:c r="R10" s="55" t="str">
        <x:v>비지하</x:v>
      </x:c>
      <x:c r="S10" s="55" t="str">
        <x:v>중개거래</x:v>
      </x:c>
      <x:c r="T10" s="55" t="str">
        <x:v>서울 용산구</x:v>
      </x:c>
      <x:c r="U10" s="55" t="n">
        <x:v>30038534</x:v>
      </x:c>
      <x:c r="V10" s="55" t="str">
        <x:v>활성</x:v>
      </x:c>
    </x:row>
    <x:row r="11">
      <x:c r="A11" s="55" t="n">
        <x:v>7</x:v>
      </x:c>
      <x:c r="B11" s="56" t="n">
        <x:v>46196</x:v>
      </x:c>
      <x:c r="C11" s="61" t="str">
        <x:v>청파동1가 4-2</x:v>
      </x:c>
      <x:c r="D11" s="61" t="str">
        <x:v>안드레아빌라</x:v>
      </x:c>
      <x:c r="E11" s="55" t="str">
        <x:v>다세대주택</x:v>
      </x:c>
      <x:c r="F11" s="57" t="n">
        <x:v>98000</x:v>
      </x:c>
      <x:c r="G11" s="58" t="n">
        <x:f>IFERROR(F11/10000,"")</x:f>
        <x:v>9.8</x:v>
      </x:c>
      <x:c r="H11" s="55" t="str">
        <x:v>다세대</x:v>
      </x:c>
      <x:c r="I11" s="59" t="n">
        <x:v>30.37</x:v>
      </x:c>
      <x:c r="J11" s="59" t="n">
        <x:f>IFERROR(I11/3.3058,"")</x:f>
        <x:v>9.186883659023534</x:v>
      </x:c>
      <x:c r="K11" s="57" t="n">
        <x:f>IFERROR(F11/J11,"")</x:f>
        <x:v>10667.382285149819</x:v>
      </x:c>
      <x:c r="L11" s="59" t="n">
        <x:v>59.85</x:v>
      </x:c>
      <x:c r="M11" s="57" t="n">
        <x:f>IFERROR(F11/(L11/3.3),"")</x:f>
        <x:v>5403.508771929824</x:v>
      </x:c>
      <x:c r="N11" s="55" t="str">
        <x:v>2</x:v>
      </x:c>
      <x:c r="O11" s="57" t="n">
        <x:v>43300</x:v>
      </x:c>
      <x:c r="P11" s="60" t="n">
        <x:f>IFERROR(F11/O11-1,"")</x:f>
        <x:v>1.2632794457274827</x:v>
      </x:c>
      <x:c r="Q11" s="55" t="n">
        <x:v>2001</x:v>
      </x:c>
      <x:c r="R11" s="55" t="str">
        <x:v>비지하</x:v>
      </x:c>
      <x:c r="S11" s="55" t="str">
        <x:v>중개거래</x:v>
      </x:c>
      <x:c r="T11" s="55" t="str">
        <x:v>서울 용산구</x:v>
      </x:c>
      <x:c r="U11" s="55" t="n">
        <x:v>30038566</x:v>
      </x:c>
      <x:c r="V11" s="55" t="str">
        <x:v>활성</x:v>
      </x:c>
    </x:row>
    <x:row r="12">
      <x:c r="A12" s="55" t="n">
        <x:v>8</x:v>
      </x:c>
      <x:c r="B12" s="56" t="n">
        <x:v>46182</x:v>
      </x:c>
      <x:c r="C12" s="61" t="str">
        <x:v>청파동1가 89-53</x:v>
      </x:c>
      <x:c r="D12" s="61" t="str">
        <x:v>(89-53)</x:v>
      </x:c>
      <x:c r="E12" s="55" t="str">
        <x:v>다세대주택</x:v>
      </x:c>
      <x:c r="F12" s="57" t="n">
        <x:v>86000</x:v>
      </x:c>
      <x:c r="G12" s="58" t="n">
        <x:f>IFERROR(F12/10000,"")</x:f>
        <x:v>8.6</x:v>
      </x:c>
      <x:c r="H12" s="55" t="str">
        <x:v>다세대</x:v>
      </x:c>
      <x:c r="I12" s="59" t="n">
        <x:v>26.98</x:v>
      </x:c>
      <x:c r="J12" s="59" t="n">
        <x:f>IFERROR(I12/3.3058,"")</x:f>
        <x:v>8.16141327364027</x:v>
      </x:c>
      <x:c r="K12" s="57" t="n">
        <x:f>IFERROR(F12/J12,"")</x:f>
        <x:v>10537.39065974796</x:v>
      </x:c>
      <x:c r="L12" s="59" t="n">
        <x:v>57.27</x:v>
      </x:c>
      <x:c r="M12" s="57" t="n">
        <x:f>IFERROR(F12/(L12/3.3),"")</x:f>
        <x:v>4955.474070193818</x:v>
      </x:c>
      <x:c r="N12" s="55" t="str">
        <x:v>1</x:v>
      </x:c>
      <x:c r="O12" s="57" t="n">
        <x:v>34300</x:v>
      </x:c>
      <x:c r="P12" s="60" t="n">
        <x:f>IFERROR(F12/O12-1,"")</x:f>
        <x:v>1.5072886297376091</x:v>
      </x:c>
      <x:c r="Q12" s="55" t="n">
        <x:v>2002</x:v>
      </x:c>
      <x:c r="R12" s="55" t="str">
        <x:v>비지하</x:v>
      </x:c>
      <x:c r="S12" s="55" t="str">
        <x:v>중개거래</x:v>
      </x:c>
      <x:c r="T12" s="55" t="str">
        <x:v>서울 마포구</x:v>
      </x:c>
      <x:c r="U12" s="55" t="n">
        <x:v>30038648</x:v>
      </x:c>
      <x:c r="V12" s="55" t="str">
        <x:v>활성</x:v>
      </x:c>
    </x:row>
    <x:row r="13">
      <x:c r="A13" s="55" t="n">
        <x:v>9</x:v>
      </x:c>
      <x:c r="B13" s="56" t="n">
        <x:v>46179</x:v>
      </x:c>
      <x:c r="C13" s="61" t="str">
        <x:v>청파동1가 1-96</x:v>
      </x:c>
      <x:c r="D13" s="61" t="str">
        <x:v>(1-96)</x:v>
      </x:c>
      <x:c r="E13" s="55" t="str">
        <x:v>다세대주택</x:v>
      </x:c>
      <x:c r="F13" s="57" t="n">
        <x:v>81500</x:v>
      </x:c>
      <x:c r="G13" s="58" t="n">
        <x:f>IFERROR(F13/10000,"")</x:f>
        <x:v>8.15</x:v>
      </x:c>
      <x:c r="H13" s="55" t="str">
        <x:v>다세대</x:v>
      </x:c>
      <x:c r="I13" s="59" t="n">
        <x:v>33.53</x:v>
      </x:c>
      <x:c r="J13" s="59" t="n">
        <x:f>IFERROR(I13/3.3058,"")</x:f>
        <x:v>10.142779357492891</x:v>
      </x:c>
      <x:c r="K13" s="57" t="n">
        <x:f>IFERROR(F13/J13,"")</x:f>
        <x:v>8035.2728899492995</x:v>
      </x:c>
      <x:c r="L13" s="59" t="n">
        <x:v>55.08</x:v>
      </x:c>
      <x:c r="M13" s="57" t="n">
        <x:f>IFERROR(F13/(L13/3.3),"")</x:f>
        <x:v>4882.897603485839</x:v>
      </x:c>
      <x:c r="N13" s="55" t="str">
        <x:v>1</x:v>
      </x:c>
      <x:c r="O13" s="57" t="n">
        <x:v>41400</x:v>
      </x:c>
      <x:c r="P13" s="60" t="n">
        <x:f>IFERROR(F13/O13-1,"")</x:f>
        <x:v>0.9685990338164252</x:v>
      </x:c>
      <x:c r="Q13" s="55" t="n">
        <x:v>1991</x:v>
      </x:c>
      <x:c r="R13" s="55" t="str">
        <x:v>비지하</x:v>
      </x:c>
      <x:c r="S13" s="55" t="str">
        <x:v>중개거래</x:v>
      </x:c>
      <x:c r="T13" s="55" t="str">
        <x:v>서울 강남구, 서울 용산구</x:v>
      </x:c>
      <x:c r="U13" s="55" t="n">
        <x:v>30038669</x:v>
      </x:c>
      <x:c r="V13" s="55" t="str">
        <x:v>활성</x:v>
      </x:c>
    </x:row>
    <x:row r="14">
      <x:c r="A14" s="55" t="n">
        <x:v>10</x:v>
      </x:c>
      <x:c r="B14" s="56" t="n">
        <x:v>46179</x:v>
      </x:c>
      <x:c r="C14" s="61" t="str">
        <x:v>청파동1가 3-39</x:v>
      </x:c>
      <x:c r="D14" s="61" t="str">
        <x:v>(3-39)</x:v>
      </x:c>
      <x:c r="E14" s="55" t="str">
        <x:v>다세대주택</x:v>
      </x:c>
      <x:c r="F14" s="57" t="n">
        <x:v>94000</x:v>
      </x:c>
      <x:c r="G14" s="58" t="n">
        <x:f>IFERROR(F14/10000,"")</x:f>
        <x:v>9.4</x:v>
      </x:c>
      <x:c r="H14" s="55" t="str">
        <x:v>다세대</x:v>
      </x:c>
      <x:c r="I14" s="59" t="n">
        <x:v>49.5</x:v>
      </x:c>
      <x:c r="J14" s="59" t="n">
        <x:f>IFERROR(I14/3.3058,"")</x:f>
        <x:v>14.973682618428217</x:v>
      </x:c>
      <x:c r="K14" s="57" t="n">
        <x:f>IFERROR(F14/J14,"")</x:f>
        <x:v>6277.680808080808</x:v>
      </x:c>
      <x:c r="L14" s="59" t="n">
        <x:v>50.04</x:v>
      </x:c>
      <x:c r="M14" s="57" t="n">
        <x:f>IFERROR(F14/(L14/3.3),"")</x:f>
        <x:v>6199.040767386091</x:v>
      </x:c>
      <x:c r="N14" s="55" t="str">
        <x:v>4</x:v>
      </x:c>
      <x:c r="O14" s="57" t="n">
        <x:v>47300</x:v>
      </x:c>
      <x:c r="P14" s="60" t="n">
        <x:f>IFERROR(F14/O14-1,"")</x:f>
        <x:v>0.9873150105708246</x:v>
      </x:c>
      <x:c r="Q14" s="55" t="n">
        <x:v>2008</x:v>
      </x:c>
      <x:c r="R14" s="55" t="str">
        <x:v>비지하</x:v>
      </x:c>
      <x:c r="S14" s="55" t="str">
        <x:v>중개거래</x:v>
      </x:c>
      <x:c r="T14" s="55" t="str">
        <x:v>서울 용산구</x:v>
      </x:c>
      <x:c r="U14" s="55" t="n">
        <x:v>30038664</x:v>
      </x:c>
      <x:c r="V14" s="55" t="str">
        <x:v>활성</x:v>
      </x:c>
    </x:row>
    <x:row r="15">
      <x:c r="A15" s="55" t="n">
        <x:v>11</x:v>
      </x:c>
      <x:c r="B15" s="56" t="n">
        <x:v>46179</x:v>
      </x:c>
      <x:c r="C15" s="61" t="str">
        <x:v>청파동1가 204-9</x:v>
      </x:c>
      <x:c r="D15" s="61" t="str">
        <x:v>(204-9)</x:v>
      </x:c>
      <x:c r="E15" s="55" t="str">
        <x:v>다세대주택</x:v>
      </x:c>
      <x:c r="F15" s="57" t="n">
        <x:v>84500</x:v>
      </x:c>
      <x:c r="G15" s="58" t="n">
        <x:f>IFERROR(F15/10000,"")</x:f>
        <x:v>8.45</x:v>
      </x:c>
      <x:c r="H15" s="55" t="str">
        <x:v>다세대</x:v>
      </x:c>
      <x:c r="I15" s="59" t="n">
        <x:v>41.85</x:v>
      </x:c>
      <x:c r="J15" s="59" t="n">
        <x:f>IFERROR(I15/3.3058,"")</x:f>
        <x:v>12.659568031943856</x:v>
      </x:c>
      <x:c r="K15" s="57" t="n">
        <x:f>IFERROR(F15/J15,"")</x:f>
        <x:v>6674.793309438471</x:v>
      </x:c>
      <x:c r="L15" s="59" t="n">
        <x:v>86.68</x:v>
      </x:c>
      <x:c r="M15" s="57" t="n">
        <x:f>IFERROR(F15/(L15/3.3),"")</x:f>
        <x:v>3217.0050761421317</x:v>
      </x:c>
      <x:c r="N15" s="55" t="str">
        <x:v>1</x:v>
      </x:c>
      <x:c r="O15" s="57" t="n">
        <x:v>47300</x:v>
      </x:c>
      <x:c r="P15" s="60" t="n">
        <x:f>IFERROR(F15/O15-1,"")</x:f>
        <x:v>0.7864693446088795</x:v>
      </x:c>
      <x:c r="Q15" s="55" t="n">
        <x:v>1981</x:v>
      </x:c>
      <x:c r="R15" s="55" t="str">
        <x:v>비지하</x:v>
      </x:c>
      <x:c r="S15" s="55" t="str">
        <x:v>중개거래</x:v>
      </x:c>
      <x:c r="T15" s="55" t="str">
        <x:v>서울 용산구</x:v>
      </x:c>
      <x:c r="U15" s="55" t="n">
        <x:v>30038630</x:v>
      </x:c>
      <x:c r="V15" s="55" t="str">
        <x:v>활성</x:v>
      </x:c>
    </x:row>
    <x:row r="16">
      <x:c r="A16" s="55" t="n">
        <x:v>12</x:v>
      </x:c>
      <x:c r="B16" s="56" t="n">
        <x:v>46177</x:v>
      </x:c>
      <x:c r="C16" s="61" t="str">
        <x:v>청파동1가 1-180</x:v>
      </x:c>
      <x:c r="D16" s="61" t="str"/>
      <x:c r="E16" s="55" t="str">
        <x:v>단독주택</x:v>
      </x:c>
      <x:c r="F16" s="57" t="n">
        <x:v>71000</x:v>
      </x:c>
      <x:c r="G16" s="58" t="n">
        <x:f>IFERROR(F16/10000,"")</x:f>
        <x:v>7.1</x:v>
      </x:c>
      <x:c r="H16" s="55" t="str">
        <x:v>단독</x:v>
      </x:c>
      <x:c r="I16" s="59" t="n">
        <x:v>44</x:v>
      </x:c>
      <x:c r="J16" s="59" t="n">
        <x:f>IFERROR(I16/3.3058,"")</x:f>
        <x:v>13.309940105269526</x:v>
      </x:c>
      <x:c r="K16" s="57" t="n">
        <x:f>IFERROR(F16/J16,"")</x:f>
        <x:v>5334.359090909091</x:v>
      </x:c>
      <x:c r="L16" s="59" t="n">
        <x:v>23.35</x:v>
      </x:c>
      <x:c r="M16" s="57" t="n">
        <x:f>IFERROR(F16/(L16/3.3),"")</x:f>
        <x:v>10034.261241970022</x:v>
      </x:c>
      <x:c r="N16" s="55" t="str"/>
      <x:c r="O16" s="57" t="n">
        <x:v>18800</x:v>
      </x:c>
      <x:c r="P16" s="60" t="n">
        <x:f>IFERROR(F16/O16-1,"")</x:f>
        <x:v>2.776595744680851</x:v>
      </x:c>
      <x:c r="Q16" s="55" t="n">
        <x:v>1985</x:v>
      </x:c>
      <x:c r="R16" s="55" t="str"/>
      <x:c r="S16" s="55" t="str">
        <x:v>중개거래</x:v>
      </x:c>
      <x:c r="T16" s="55" t="str">
        <x:v>서울 용산구</x:v>
      </x:c>
      <x:c r="U16" s="55" t="n">
        <x:v>30044166</x:v>
      </x:c>
      <x:c r="V16" s="55" t="str">
        <x:v>활성</x:v>
      </x:c>
    </x:row>
    <x:row r="17">
      <x:c r="A17" s="55" t="n">
        <x:v>13</x:v>
      </x:c>
      <x:c r="B17" s="56" t="n">
        <x:v>46177</x:v>
      </x:c>
      <x:c r="C17" s="61" t="str">
        <x:v>청파동1가 132-14</x:v>
      </x:c>
      <x:c r="D17" s="61" t="str">
        <x:v>미샹보르2차</x:v>
      </x:c>
      <x:c r="E17" s="55" t="str">
        <x:v>다세대주택</x:v>
      </x:c>
      <x:c r="F17" s="57" t="n">
        <x:v>83000</x:v>
      </x:c>
      <x:c r="G17" s="58" t="n">
        <x:f>IFERROR(F17/10000,"")</x:f>
        <x:v>8.3</x:v>
      </x:c>
      <x:c r="H17" s="55" t="str">
        <x:v>다세대</x:v>
      </x:c>
      <x:c r="I17" s="59" t="n">
        <x:v>20.6514</x:v>
      </x:c>
      <x:c r="J17" s="59" t="n">
        <x:f>IFERROR(I17/3.3058,"")</x:f>
        <x:v>6.247020388408251</x:v>
      </x:c>
      <x:c r="K17" s="57" t="n">
        <x:f>IFERROR(F17/J17,"")</x:f>
        <x:v>13286.334098414636</x:v>
      </x:c>
      <x:c r="L17" s="59" t="n">
        <x:v>29.36</x:v>
      </x:c>
      <x:c r="M17" s="57" t="n">
        <x:f>IFERROR(F17/(L17/3.3),"")</x:f>
        <x:v>9329.019073569483</x:v>
      </x:c>
      <x:c r="N17" s="55" t="str">
        <x:v>3</x:v>
      </x:c>
      <x:c r="O17" s="57" t="n">
        <x:v>43300</x:v>
      </x:c>
      <x:c r="P17" s="60" t="n">
        <x:f>IFERROR(F17/O17-1,"")</x:f>
        <x:v>0.9168591224018476</x:v>
      </x:c>
      <x:c r="Q17" s="55" t="n">
        <x:v>2019</x:v>
      </x:c>
      <x:c r="R17" s="55" t="str">
        <x:v>비지하</x:v>
      </x:c>
      <x:c r="S17" s="55" t="str">
        <x:v>중개거래</x:v>
      </x:c>
      <x:c r="T17" s="55" t="str">
        <x:v>서울 마포구</x:v>
      </x:c>
      <x:c r="U17" s="55" t="n">
        <x:v>30038671</x:v>
      </x:c>
      <x:c r="V17" s="55" t="str">
        <x:v>활성</x:v>
      </x:c>
    </x:row>
    <x:row r="18">
      <x:c r="A18" s="55" t="n">
        <x:v>14</x:v>
      </x:c>
      <x:c r="B18" s="56" t="n">
        <x:v>46170</x:v>
      </x:c>
      <x:c r="C18" s="61" t="str">
        <x:v>청파동1가 89-31</x:v>
      </x:c>
      <x:c r="D18" s="61" t="str">
        <x:v>프라임빌(89-31)</x:v>
      </x:c>
      <x:c r="E18" s="55" t="str">
        <x:v>다세대주택</x:v>
      </x:c>
      <x:c r="F18" s="57" t="n">
        <x:v>83000</x:v>
      </x:c>
      <x:c r="G18" s="58" t="n">
        <x:f>IFERROR(F18/10000,"")</x:f>
        <x:v>8.3</x:v>
      </x:c>
      <x:c r="H18" s="55" t="str">
        <x:v>다세대</x:v>
      </x:c>
      <x:c r="I18" s="59" t="n">
        <x:v>33.06</x:v>
      </x:c>
      <x:c r="J18" s="59" t="n">
        <x:f>IFERROR(I18/3.3058,"")</x:f>
        <x:v>10.000604997277513</x:v>
      </x:c>
      <x:c r="K18" s="57" t="n">
        <x:f>IFERROR(F18/J18,"")</x:f>
        <x:v>8299.497882637628</x:v>
      </x:c>
      <x:c r="L18" s="59" t="n">
        <x:v>62.26</x:v>
      </x:c>
      <x:c r="M18" s="57" t="n">
        <x:f>IFERROR(F18/(L18/3.3),"")</x:f>
        <x:v>4399.293286219081</x:v>
      </x:c>
      <x:c r="N18" s="55" t="str">
        <x:v>3</x:v>
      </x:c>
      <x:c r="O18" s="57" t="n">
        <x:v>50100</x:v>
      </x:c>
      <x:c r="P18" s="60" t="n">
        <x:f>IFERROR(F18/O18-1,"")</x:f>
        <x:v>0.656686626746507</x:v>
      </x:c>
      <x:c r="Q18" s="55" t="n">
        <x:v>2008</x:v>
      </x:c>
      <x:c r="R18" s="55" t="str">
        <x:v>비지하</x:v>
      </x:c>
      <x:c r="S18" s="55" t="str">
        <x:v>중개거래</x:v>
      </x:c>
      <x:c r="T18" s="55" t="str">
        <x:v>서울 용산구</x:v>
      </x:c>
      <x:c r="U18" s="55" t="n">
        <x:v>27664128</x:v>
      </x:c>
      <x:c r="V18" s="55" t="str">
        <x:v>활성</x:v>
      </x:c>
    </x:row>
    <x:row r="19">
      <x:c r="A19" s="55" t="n">
        <x:v>15</x:v>
      </x:c>
      <x:c r="B19" s="56" t="n">
        <x:v>46165</x:v>
      </x:c>
      <x:c r="C19" s="61" t="str">
        <x:v>청파동1가 3-54</x:v>
      </x:c>
      <x:c r="D19" s="61" t="str"/>
      <x:c r="E19" s="55" t="str">
        <x:v>단독주택</x:v>
      </x:c>
      <x:c r="F19" s="57" t="n">
        <x:v>120000</x:v>
      </x:c>
      <x:c r="G19" s="58" t="n">
        <x:f>IFERROR(F19/10000,"")</x:f>
        <x:v>12</x:v>
      </x:c>
      <x:c r="H19" s="55" t="str">
        <x:v>단독</x:v>
      </x:c>
      <x:c r="I19" s="59" t="n">
        <x:v>115.7</x:v>
      </x:c>
      <x:c r="J19" s="59" t="n">
        <x:f>IFERROR(I19/3.3058,"")</x:f>
        <x:v>34.999092504083734</x:v>
      </x:c>
      <x:c r="K19" s="57" t="n">
        <x:f>IFERROR(F19/J19,"")</x:f>
        <x:v>3428.6603284356092</x:v>
      </x:c>
      <x:c r="L19" s="59" t="n">
        <x:v>180.09</x:v>
      </x:c>
      <x:c r="M19" s="57" t="n">
        <x:f>IFERROR(F19/(L19/3.3),"")</x:f>
        <x:v>2198.9005497251374</x:v>
      </x:c>
      <x:c r="N19" s="55" t="str"/>
      <x:c r="O19" s="57" t="n">
        <x:v>50600</x:v>
      </x:c>
      <x:c r="P19" s="60" t="n">
        <x:f>IFERROR(F19/O19-1,"")</x:f>
        <x:v>1.3715415019762847</x:v>
      </x:c>
      <x:c r="Q19" s="55" t="n">
        <x:v>1989</x:v>
      </x:c>
      <x:c r="R19" s="55" t="str"/>
      <x:c r="S19" s="55" t="str">
        <x:v>중개거래</x:v>
      </x:c>
      <x:c r="T19" s="55" t="str">
        <x:v>서울 용산구</x:v>
      </x:c>
      <x:c r="U19" s="55" t="n">
        <x:v>27669562</x:v>
      </x:c>
      <x:c r="V19" s="55" t="str">
        <x:v>활성</x:v>
      </x:c>
    </x:row>
    <x:row r="20">
      <x:c r="A20" s="55" t="n">
        <x:v>16</x:v>
      </x:c>
      <x:c r="B20" s="56" t="n">
        <x:v>46163</x:v>
      </x:c>
      <x:c r="C20" s="61" t="str">
        <x:v>청파동1가 132-14</x:v>
      </x:c>
      <x:c r="D20" s="61" t="str">
        <x:v>미샹보르2차</x:v>
      </x:c>
      <x:c r="E20" s="55" t="str">
        <x:v>다세대주택</x:v>
      </x:c>
      <x:c r="F20" s="57" t="n">
        <x:v>45000</x:v>
      </x:c>
      <x:c r="G20" s="58" t="n">
        <x:f>IFERROR(F20/10000,"")</x:f>
        <x:v>4.5</x:v>
      </x:c>
      <x:c r="H20" s="55" t="str">
        <x:v>다세대</x:v>
      </x:c>
      <x:c r="I20" s="59" t="n">
        <x:v>19.6616</x:v>
      </x:c>
      <x:c r="J20" s="59" t="n">
        <x:f>IFERROR(I20/3.3058,"")</x:f>
        <x:v>5.947607235767439</x:v>
      </x:c>
      <x:c r="K20" s="57" t="n">
        <x:f>IFERROR(F20/J20,"")</x:f>
        <x:v>7566.06786833218</x:v>
      </x:c>
      <x:c r="L20" s="59" t="n">
        <x:v>25.33</x:v>
      </x:c>
      <x:c r="M20" s="57" t="n">
        <x:f>IFERROR(F20/(L20/3.3),"")</x:f>
        <x:v>5862.613501776549</x:v>
      </x:c>
      <x:c r="N20" s="55" t="str">
        <x:v>2</x:v>
      </x:c>
      <x:c r="O20" s="57" t="n">
        <x:v>37400</x:v>
      </x:c>
      <x:c r="P20" s="60" t="n">
        <x:f>IFERROR(F20/O20-1,"")</x:f>
        <x:v>0.20320855614973254</x:v>
      </x:c>
      <x:c r="Q20" s="55" t="n">
        <x:v>2019</x:v>
      </x:c>
      <x:c r="R20" s="55" t="str">
        <x:v>비지하</x:v>
      </x:c>
      <x:c r="S20" s="55" t="str">
        <x:v>직거래</x:v>
      </x:c>
      <x:c r="T20" s="55" t="str"/>
      <x:c r="U20" s="55" t="n">
        <x:v>27664090</x:v>
      </x:c>
      <x:c r="V20" s="55" t="str">
        <x:v>활성</x:v>
      </x:c>
    </x:row>
    <x:row r="21">
      <x:c r="A21" s="55" t="n">
        <x:v>17</x:v>
      </x:c>
      <x:c r="B21" s="56" t="n">
        <x:v>46161</x:v>
      </x:c>
      <x:c r="C21" s="61" t="str">
        <x:v>청파동1가 89-153</x:v>
      </x:c>
      <x:c r="D21" s="61" t="str">
        <x:v>(89-153)</x:v>
      </x:c>
      <x:c r="E21" s="55" t="str">
        <x:v>다세대주택</x:v>
      </x:c>
      <x:c r="F21" s="57" t="n">
        <x:v>68000</x:v>
      </x:c>
      <x:c r="G21" s="58" t="n">
        <x:f>IFERROR(F21/10000,"")</x:f>
        <x:v>6.8</x:v>
      </x:c>
      <x:c r="H21" s="55" t="str">
        <x:v>다세대</x:v>
      </x:c>
      <x:c r="I21" s="59" t="n">
        <x:v>26.12</x:v>
      </x:c>
      <x:c r="J21" s="59" t="n">
        <x:f>IFERROR(I21/3.3058,"")</x:f>
        <x:v>7.901264444310001</x:v>
      </x:c>
      <x:c r="K21" s="57" t="n">
        <x:f>IFERROR(F21/J21,"")</x:f>
        <x:v>8606.217457886676</x:v>
      </x:c>
      <x:c r="L21" s="59" t="n">
        <x:v>18.97</x:v>
      </x:c>
      <x:c r="M21" s="57" t="n">
        <x:f>IFERROR(F21/(L21/3.3),"")</x:f>
        <x:v>11829.20400632578</x:v>
      </x:c>
      <x:c r="N21" s="55" t="str">
        <x:v>2</x:v>
      </x:c>
      <x:c r="O21" s="57" t="n">
        <x:v>31800</x:v>
      </x:c>
      <x:c r="P21" s="60" t="n">
        <x:f>IFERROR(F21/O21-1,"")</x:f>
        <x:v>1.1383647798742138</x:v>
      </x:c>
      <x:c r="Q21" s="55" t="n">
        <x:v>2008</x:v>
      </x:c>
      <x:c r="R21" s="55" t="str">
        <x:v>비지하</x:v>
      </x:c>
      <x:c r="S21" s="55" t="str">
        <x:v>중개거래</x:v>
      </x:c>
      <x:c r="T21" s="55" t="str">
        <x:v>서울 용산구</x:v>
      </x:c>
      <x:c r="U21" s="55" t="n">
        <x:v>27664149</x:v>
      </x:c>
      <x:c r="V21" s="55" t="str">
        <x:v>활성</x:v>
      </x:c>
    </x:row>
    <x:row r="22">
      <x:c r="A22" s="55" t="n">
        <x:v>18</x:v>
      </x:c>
      <x:c r="B22" s="56" t="n">
        <x:v>46158</x:v>
      </x:c>
      <x:c r="C22" s="61" t="str">
        <x:v>청파동1가 91-54</x:v>
      </x:c>
      <x:c r="D22" s="61" t="str">
        <x:v>청파시온빌</x:v>
      </x:c>
      <x:c r="E22" s="55" t="str">
        <x:v>다세대주택</x:v>
      </x:c>
      <x:c r="F22" s="57" t="n">
        <x:v>76000</x:v>
      </x:c>
      <x:c r="G22" s="58" t="n">
        <x:f>IFERROR(F22/10000,"")</x:f>
        <x:v>7.6</x:v>
      </x:c>
      <x:c r="H22" s="55" t="str">
        <x:v>다세대</x:v>
      </x:c>
      <x:c r="I22" s="59" t="n">
        <x:v>20.26</x:v>
      </x:c>
      <x:c r="J22" s="59" t="n">
        <x:f>IFERROR(I22/3.3058,"")</x:f>
        <x:v>6.128622421199105</x:v>
      </x:c>
      <x:c r="K22" s="57" t="n">
        <x:f>IFERROR(F22/J22,"")</x:f>
        <x:v>12400.829220138203</x:v>
      </x:c>
      <x:c r="L22" s="59" t="n">
        <x:v>25.98</x:v>
      </x:c>
      <x:c r="M22" s="57" t="n">
        <x:f>IFERROR(F22/(L22/3.3),"")</x:f>
        <x:v>9653.579676674364</x:v>
      </x:c>
      <x:c r="N22" s="55" t="str">
        <x:v>2</x:v>
      </x:c>
      <x:c r="O22" s="57" t="n">
        <x:v>31500</x:v>
      </x:c>
      <x:c r="P22" s="60" t="n">
        <x:f>IFERROR(F22/O22-1,"")</x:f>
        <x:v>1.4126984126984126</x:v>
      </x:c>
      <x:c r="Q22" s="55" t="n">
        <x:v>2017</x:v>
      </x:c>
      <x:c r="R22" s="55" t="str">
        <x:v>비지하</x:v>
      </x:c>
      <x:c r="S22" s="55" t="str">
        <x:v>중개거래</x:v>
      </x:c>
      <x:c r="T22" s="55" t="str">
        <x:v>서울 용산구</x:v>
      </x:c>
      <x:c r="U22" s="55" t="n">
        <x:v>27664117</x:v>
      </x:c>
      <x:c r="V22" s="55" t="str">
        <x:v>활성</x:v>
      </x:c>
    </x:row>
    <x:row r="23">
      <x:c r="A23" s="55" t="n">
        <x:v>19</x:v>
      </x:c>
      <x:c r="B23" s="56" t="n">
        <x:v>46155</x:v>
      </x:c>
      <x:c r="C23" s="61" t="str">
        <x:v>청파동1가 1-53</x:v>
      </x:c>
      <x:c r="D23" s="61" t="str">
        <x:v>효성빌라트</x:v>
      </x:c>
      <x:c r="E23" s="55" t="str">
        <x:v>다세대주택</x:v>
      </x:c>
      <x:c r="F23" s="57" t="n">
        <x:v>95000</x:v>
      </x:c>
      <x:c r="G23" s="58" t="n">
        <x:f>IFERROR(F23/10000,"")</x:f>
        <x:v>9.5</x:v>
      </x:c>
      <x:c r="H23" s="55" t="str">
        <x:v>다세대</x:v>
      </x:c>
      <x:c r="I23" s="59" t="n">
        <x:v>30.2</x:v>
      </x:c>
      <x:c r="J23" s="59" t="n">
        <x:f>IFERROR(I23/3.3058,"")</x:f>
        <x:v>9.135458890434993</x:v>
      </x:c>
      <x:c r="K23" s="57" t="n">
        <x:f>IFERROR(F23/J23,"")</x:f>
        <x:v>10399.039735099337</x:v>
      </x:c>
      <x:c r="L23" s="59" t="n">
        <x:v>65.05</x:v>
      </x:c>
      <x:c r="M23" s="57" t="n">
        <x:f>IFERROR(F23/(L23/3.3),"")</x:f>
        <x:v>4819.369715603382</x:v>
      </x:c>
      <x:c r="N23" s="55" t="str">
        <x:v>2</x:v>
      </x:c>
      <x:c r="O23" s="57" t="n">
        <x:v>40500</x:v>
      </x:c>
      <x:c r="P23" s="60" t="n">
        <x:f>IFERROR(F23/O23-1,"")</x:f>
        <x:v>1.3456790123456792</x:v>
      </x:c>
      <x:c r="Q23" s="55" t="n">
        <x:v>2001</x:v>
      </x:c>
      <x:c r="R23" s="55" t="str">
        <x:v>비지하</x:v>
      </x:c>
      <x:c r="S23" s="55" t="str">
        <x:v>중개거래</x:v>
      </x:c>
      <x:c r="T23" s="55" t="str">
        <x:v>서울 서대문구, 서울 용산구</x:v>
      </x:c>
      <x:c r="U23" s="55" t="n">
        <x:v>27664158</x:v>
      </x:c>
      <x:c r="V23" s="55" t="str">
        <x:v>활성</x:v>
      </x:c>
    </x:row>
    <x:row r="24">
      <x:c r="A24" s="55" t="n">
        <x:v>20</x:v>
      </x:c>
      <x:c r="B24" s="56" t="n">
        <x:v>46144</x:v>
      </x:c>
      <x:c r="C24" s="61" t="str">
        <x:v>청파동1가 1-65</x:v>
      </x:c>
      <x:c r="D24" s="61" t="str">
        <x:v>(1-65)</x:v>
      </x:c>
      <x:c r="E24" s="55" t="str">
        <x:v>다세대주택</x:v>
      </x:c>
      <x:c r="F24" s="57" t="n">
        <x:v>67600</x:v>
      </x:c>
      <x:c r="G24" s="58" t="n">
        <x:f>IFERROR(F24/10000,"")</x:f>
        <x:v>6.76</x:v>
      </x:c>
      <x:c r="H24" s="55" t="str">
        <x:v>다세대</x:v>
      </x:c>
      <x:c r="I24" s="59" t="n">
        <x:v>33.05</x:v>
      </x:c>
      <x:c r="J24" s="59" t="n">
        <x:f>IFERROR(I24/3.3058,"")</x:f>
        <x:v>9.99758001088995</x:v>
      </x:c>
      <x:c r="K24" s="57" t="n">
        <x:f>IFERROR(F24/J24,"")</x:f>
        <x:v>6761.636308623299</x:v>
      </x:c>
      <x:c r="L24" s="59" t="n">
        <x:v>98.22</x:v>
      </x:c>
      <x:c r="M24" s="57" t="n">
        <x:f>IFERROR(F24/(L24/3.3),"")</x:f>
        <x:v>2271.227855833842</x:v>
      </x:c>
      <x:c r="N24" s="55" t="str">
        <x:v>-1</x:v>
      </x:c>
      <x:c r="O24" s="57" t="n">
        <x:v>53700</x:v>
      </x:c>
      <x:c r="P24" s="60" t="n">
        <x:f>IFERROR(F24/O24-1,"")</x:f>
        <x:v>0.25884543761638734</x:v>
      </x:c>
      <x:c r="Q24" s="55" t="n">
        <x:v>2009</x:v>
      </x:c>
      <x:c r="R24" s="55" t="str">
        <x:v>지하</x:v>
      </x:c>
      <x:c r="S24" s="55" t="str">
        <x:v>중개거래</x:v>
      </x:c>
      <x:c r="T24" s="55" t="str">
        <x:v>서울 용산구</x:v>
      </x:c>
      <x:c r="U24" s="55" t="n">
        <x:v>27664189</x:v>
      </x:c>
      <x:c r="V24" s="55" t="str">
        <x:v>활성</x:v>
      </x:c>
    </x:row>
    <x:row r="25">
      <x:c r="A25" s="55" t="n">
        <x:v>21</x:v>
      </x:c>
      <x:c r="B25" s="56" t="n">
        <x:v>46137</x:v>
      </x:c>
      <x:c r="C25" s="61" t="str">
        <x:v>청파동1가 93-49</x:v>
      </x:c>
      <x:c r="D25" s="61" t="str"/>
      <x:c r="E25" s="55" t="str">
        <x:v>단독주택</x:v>
      </x:c>
      <x:c r="F25" s="57" t="n">
        <x:v>43000</x:v>
      </x:c>
      <x:c r="G25" s="58" t="n">
        <x:f>IFERROR(F25/10000,"")</x:f>
        <x:v>4.3</x:v>
      </x:c>
      <x:c r="H25" s="55" t="str">
        <x:v>단독</x:v>
      </x:c>
      <x:c r="I25" s="59" t="n">
        <x:v>23.1</x:v>
      </x:c>
      <x:c r="J25" s="59" t="n">
        <x:f>IFERROR(I25/3.3058,"")</x:f>
        <x:v>6.987718555266501</x:v>
      </x:c>
      <x:c r="K25" s="57" t="n">
        <x:f>IFERROR(F25/J25,"")</x:f>
        <x:v>6153.653679653679</x:v>
      </x:c>
      <x:c r="L25" s="59" t="n">
        <x:v>17.05</x:v>
      </x:c>
      <x:c r="M25" s="57" t="n">
        <x:f>IFERROR(F25/(L25/3.3),"")</x:f>
        <x:v>8322.58064516129</x:v>
      </x:c>
      <x:c r="N25" s="55" t="str"/>
      <x:c r="O25" s="57" t="n">
        <x:v>10600</x:v>
      </x:c>
      <x:c r="P25" s="60" t="n">
        <x:f>IFERROR(F25/O25-1,"")</x:f>
        <x:v>3.0566037735849054</x:v>
      </x:c>
      <x:c r="Q25" s="55" t="n">
        <x:v>2014</x:v>
      </x:c>
      <x:c r="R25" s="55" t="str"/>
      <x:c r="S25" s="55" t="str">
        <x:v>중개거래</x:v>
      </x:c>
      <x:c r="T25" s="55" t="str">
        <x:v>서울 용산구</x:v>
      </x:c>
      <x:c r="U25" s="55" t="n">
        <x:v>24966445</x:v>
      </x:c>
      <x:c r="V25" s="55" t="str">
        <x:v>활성</x:v>
      </x:c>
    </x:row>
    <x:row r="26">
      <x:c r="A26" s="55" t="n">
        <x:v>22</x:v>
      </x:c>
      <x:c r="B26" s="56" t="n">
        <x:v>46137</x:v>
      </x:c>
      <x:c r="C26" s="61" t="str">
        <x:v>청파동1가 1-65</x:v>
      </x:c>
      <x:c r="D26" s="61" t="str">
        <x:v>(1-65)</x:v>
      </x:c>
      <x:c r="E26" s="55" t="str">
        <x:v>다세대주택</x:v>
      </x:c>
      <x:c r="F26" s="57" t="n">
        <x:v>99500</x:v>
      </x:c>
      <x:c r="G26" s="58" t="n">
        <x:f>IFERROR(F26/10000,"")</x:f>
        <x:v>9.95</x:v>
      </x:c>
      <x:c r="H26" s="55" t="str">
        <x:v>다세대</x:v>
      </x:c>
      <x:c r="I26" s="59" t="n">
        <x:v>36.35</x:v>
      </x:c>
      <x:c r="J26" s="59" t="n">
        <x:f>IFERROR(I26/3.3058,"")</x:f>
        <x:v>10.995825518785166</x:v>
      </x:c>
      <x:c r="K26" s="57" t="n">
        <x:f>IFERROR(F26/J26,"")</x:f>
        <x:v>9048.888583218706</x:v>
      </x:c>
      <x:c r="L26" s="59" t="n">
        <x:v>68.85</x:v>
      </x:c>
      <x:c r="M26" s="57" t="n">
        <x:f>IFERROR(F26/(L26/3.3),"")</x:f>
        <x:v>4769.063180827887</x:v>
      </x:c>
      <x:c r="N26" s="55" t="str">
        <x:v>4</x:v>
      </x:c>
      <x:c r="O26" s="57" t="n">
        <x:v>60300</x:v>
      </x:c>
      <x:c r="P26" s="60" t="n">
        <x:f>IFERROR(F26/O26-1,"")</x:f>
        <x:v>0.6500829187396351</x:v>
      </x:c>
      <x:c r="Q26" s="55" t="n">
        <x:v>2009</x:v>
      </x:c>
      <x:c r="R26" s="55" t="str">
        <x:v>비지하</x:v>
      </x:c>
      <x:c r="S26" s="55" t="str">
        <x:v>중개거래</x:v>
      </x:c>
      <x:c r="T26" s="55" t="str">
        <x:v>서울 용산구</x:v>
      </x:c>
      <x:c r="U26" s="55" t="n">
        <x:v>24959328</x:v>
      </x:c>
      <x:c r="V26" s="55" t="str">
        <x:v>활성</x:v>
      </x:c>
    </x:row>
    <x:row r="27">
      <x:c r="A27" s="55" t="n">
        <x:v>23</x:v>
      </x:c>
      <x:c r="B27" s="56" t="n">
        <x:v>46129</x:v>
      </x:c>
      <x:c r="C27" s="61" t="str">
        <x:v>청파동1가 1-138</x:v>
      </x:c>
      <x:c r="D27" s="61" t="str"/>
      <x:c r="E27" s="55" t="str">
        <x:v>단독주택</x:v>
      </x:c>
      <x:c r="F27" s="57" t="n">
        <x:v>40000</x:v>
      </x:c>
      <x:c r="G27" s="58" t="n">
        <x:f>IFERROR(F27/10000,"")</x:f>
        <x:v>4</x:v>
      </x:c>
      <x:c r="H27" s="55" t="str">
        <x:v>단독</x:v>
      </x:c>
      <x:c r="I27" s="59" t="n">
        <x:v>98.1</x:v>
      </x:c>
      <x:c r="J27" s="59" t="n">
        <x:f>IFERROR(I27/3.3058,"")</x:f>
        <x:v>29.675116461975918</x:v>
      </x:c>
      <x:c r="K27" s="57" t="n">
        <x:f>IFERROR(F27/J27,"")</x:f>
        <x:v>1347.9306829765546</x:v>
      </x:c>
      <x:c r="L27" s="59" t="n">
        <x:v>136.47</x:v>
      </x:c>
      <x:c r="M27" s="57" t="n">
        <x:f>IFERROR(F27/(L27/3.3),"")</x:f>
        <x:v>967.2455484721916</x:v>
      </x:c>
      <x:c r="N27" s="55" t="str"/>
      <x:c r="O27" s="57" t="n">
        <x:v>41500</x:v>
      </x:c>
      <x:c r="P27" s="60" t="n">
        <x:f>IFERROR(F27/O27-1,"")</x:f>
        <x:v>-0.03614457831325302</x:v>
      </x:c>
      <x:c r="Q27" s="55" t="n">
        <x:v>1989</x:v>
      </x:c>
      <x:c r="R27" s="55" t="str"/>
      <x:c r="S27" s="55" t="str">
        <x:v>직거래</x:v>
      </x:c>
      <x:c r="T27" s="55" t="str"/>
      <x:c r="U27" s="55" t="n">
        <x:v>24966454</x:v>
      </x:c>
      <x:c r="V27" s="55" t="str">
        <x:v>활성</x:v>
      </x:c>
    </x:row>
    <x:row r="28">
      <x:c r="A28" s="55" t="n">
        <x:v>24</x:v>
      </x:c>
      <x:c r="B28" s="56" t="n">
        <x:v>46127</x:v>
      </x:c>
      <x:c r="C28" s="61" t="str">
        <x:v>청파동1가 1-46</x:v>
      </x:c>
      <x:c r="D28" s="61" t="str">
        <x:v>에버그린</x:v>
      </x:c>
      <x:c r="E28" s="55" t="str">
        <x:v>다세대주택</x:v>
      </x:c>
      <x:c r="F28" s="57" t="n">
        <x:v>91000</x:v>
      </x:c>
      <x:c r="G28" s="58" t="n">
        <x:f>IFERROR(F28/10000,"")</x:f>
        <x:v>9.1</x:v>
      </x:c>
      <x:c r="H28" s="55" t="str">
        <x:v>다세대</x:v>
      </x:c>
      <x:c r="I28" s="59" t="n">
        <x:v>29.8</x:v>
      </x:c>
      <x:c r="J28" s="59" t="n">
        <x:f>IFERROR(I28/3.3058,"")</x:f>
        <x:v>9.014459434932542</x:v>
      </x:c>
      <x:c r="K28" s="57" t="n">
        <x:f>IFERROR(F28/J28,"")</x:f>
        <x:v>10094.892617449665</x:v>
      </x:c>
      <x:c r="L28" s="59" t="n">
        <x:v>61.73</x:v>
      </x:c>
      <x:c r="M28" s="57" t="n">
        <x:f>IFERROR(F28/(L28/3.3),"")</x:f>
        <x:v>4864.73351692856</x:v>
      </x:c>
      <x:c r="N28" s="55" t="str">
        <x:v>1</x:v>
      </x:c>
      <x:c r="O28" s="57" t="n">
        <x:v>44300</x:v>
      </x:c>
      <x:c r="P28" s="60" t="n">
        <x:f>IFERROR(F28/O28-1,"")</x:f>
        <x:v>1.054176072234763</x:v>
      </x:c>
      <x:c r="Q28" s="55" t="n">
        <x:v>2008</x:v>
      </x:c>
      <x:c r="R28" s="55" t="str">
        <x:v>비지하</x:v>
      </x:c>
      <x:c r="S28" s="55" t="str">
        <x:v>중개거래</x:v>
      </x:c>
      <x:c r="T28" s="55" t="str">
        <x:v>서울 서대문구, 서울 용산구</x:v>
      </x:c>
      <x:c r="U28" s="55" t="n">
        <x:v>24959362</x:v>
      </x:c>
      <x:c r="V28" s="55" t="str">
        <x:v>활성</x:v>
      </x:c>
    </x:row>
    <x:row r="29">
      <x:c r="A29" s="55" t="n">
        <x:v>25</x:v>
      </x:c>
      <x:c r="B29" s="56" t="n">
        <x:v>46125</x:v>
      </x:c>
      <x:c r="C29" s="61" t="str">
        <x:v>청파동1가 3-39</x:v>
      </x:c>
      <x:c r="D29" s="61" t="str">
        <x:v>(3-39)</x:v>
      </x:c>
      <x:c r="E29" s="55" t="str">
        <x:v>다세대주택</x:v>
      </x:c>
      <x:c r="F29" s="57" t="n">
        <x:v>97000</x:v>
      </x:c>
      <x:c r="G29" s="58" t="n">
        <x:f>IFERROR(F29/10000,"")</x:f>
        <x:v>9.7</x:v>
      </x:c>
      <x:c r="H29" s="55" t="str">
        <x:v>다세대</x:v>
      </x:c>
      <x:c r="I29" s="59" t="n">
        <x:v>49.5</x:v>
      </x:c>
      <x:c r="J29" s="59" t="n">
        <x:f>IFERROR(I29/3.3058,"")</x:f>
        <x:v>14.973682618428217</x:v>
      </x:c>
      <x:c r="K29" s="57" t="n">
        <x:f>IFERROR(F29/J29,"")</x:f>
        <x:v>6478.0323232323235</x:v>
      </x:c>
      <x:c r="L29" s="59" t="n">
        <x:v>50.04</x:v>
      </x:c>
      <x:c r="M29" s="57" t="n">
        <x:f>IFERROR(F29/(L29/3.3),"")</x:f>
        <x:v>6396.882494004796</x:v>
      </x:c>
      <x:c r="N29" s="55" t="str">
        <x:v>2</x:v>
      </x:c>
      <x:c r="O29" s="57" t="n">
        <x:v>49000</x:v>
      </x:c>
      <x:c r="P29" s="60" t="n">
        <x:f>IFERROR(F29/O29-1,"")</x:f>
        <x:v>0.9795918367346939</x:v>
      </x:c>
      <x:c r="Q29" s="55" t="n">
        <x:v>2008</x:v>
      </x:c>
      <x:c r="R29" s="55" t="str">
        <x:v>비지하</x:v>
      </x:c>
      <x:c r="S29" s="55" t="str">
        <x:v>중개거래</x:v>
      </x:c>
      <x:c r="T29" s="55" t="str">
        <x:v>서울 용산구</x:v>
      </x:c>
      <x:c r="U29" s="55" t="n">
        <x:v>24959311</x:v>
      </x:c>
      <x:c r="V29" s="55" t="str">
        <x:v>활성</x:v>
      </x:c>
    </x:row>
    <x:row r="30">
      <x:c r="A30" s="55" t="n">
        <x:v>26</x:v>
      </x:c>
      <x:c r="B30" s="56" t="n">
        <x:v>46117</x:v>
      </x:c>
      <x:c r="C30" s="61" t="str">
        <x:v>청파동1가 89-14</x:v>
      </x:c>
      <x:c r="D30" s="61" t="str">
        <x:v>(89-14)</x:v>
      </x:c>
      <x:c r="E30" s="55" t="str">
        <x:v>다세대주택</x:v>
      </x:c>
      <x:c r="F30" s="57" t="n">
        <x:v>40000</x:v>
      </x:c>
      <x:c r="G30" s="58" t="n">
        <x:f>IFERROR(F30/10000,"")</x:f>
        <x:v>4</x:v>
      </x:c>
      <x:c r="H30" s="55" t="str">
        <x:v>다세대</x:v>
      </x:c>
      <x:c r="I30" s="59" t="n">
        <x:v>30.65</x:v>
      </x:c>
      <x:c r="J30" s="59" t="n">
        <x:f>IFERROR(I30/3.3058,"")</x:f>
        <x:v>9.27158327787525</x:v>
      </x:c>
      <x:c r="K30" s="57" t="n">
        <x:f>IFERROR(F30/J30,"")</x:f>
        <x:v>4314.257748776509</x:v>
      </x:c>
      <x:c r="L30" s="59" t="n">
        <x:v>63.54</x:v>
      </x:c>
      <x:c r="M30" s="57" t="n">
        <x:f>IFERROR(F30/(L30/3.3),"")</x:f>
        <x:v>2077.431539187913</x:v>
      </x:c>
      <x:c r="N30" s="55" t="str">
        <x:v>-1</x:v>
      </x:c>
      <x:c r="O30" s="57" t="n">
        <x:v>28300</x:v>
      </x:c>
      <x:c r="P30" s="60" t="n">
        <x:f>IFERROR(F30/O30-1,"")</x:f>
        <x:v>0.4134275618374559</x:v>
      </x:c>
      <x:c r="Q30" s="55" t="n">
        <x:v>2004</x:v>
      </x:c>
      <x:c r="R30" s="55" t="str">
        <x:v>지하</x:v>
      </x:c>
      <x:c r="S30" s="55" t="str">
        <x:v>직거래</x:v>
      </x:c>
      <x:c r="T30" s="55" t="str"/>
      <x:c r="U30" s="55" t="n">
        <x:v>24959364</x:v>
      </x:c>
      <x:c r="V30" s="55" t="str">
        <x:v>활성</x:v>
      </x:c>
    </x:row>
    <x:row r="31">
      <x:c r="A31" s="55" t="n">
        <x:v>27</x:v>
      </x:c>
      <x:c r="B31" s="56" t="n">
        <x:v>46115</x:v>
      </x:c>
      <x:c r="C31" s="61" t="str">
        <x:v>청파동1가 89-14</x:v>
      </x:c>
      <x:c r="D31" s="61" t="str">
        <x:v>(89-14)</x:v>
      </x:c>
      <x:c r="E31" s="55" t="str">
        <x:v>다세대주택</x:v>
      </x:c>
      <x:c r="F31" s="57" t="n">
        <x:v>50000</x:v>
      </x:c>
      <x:c r="G31" s="58" t="n">
        <x:f>IFERROR(F31/10000,"")</x:f>
        <x:v>5</x:v>
      </x:c>
      <x:c r="H31" s="55" t="str">
        <x:v>다세대</x:v>
      </x:c>
      <x:c r="I31" s="59" t="n">
        <x:v>31.6</x:v>
      </x:c>
      <x:c r="J31" s="59" t="n">
        <x:f>IFERROR(I31/3.3058,"")</x:f>
        <x:v>9.55895698469357</x:v>
      </x:c>
      <x:c r="K31" s="57" t="n">
        <x:f>IFERROR(F31/J31,"")</x:f>
        <x:v>5230.696202531645</x:v>
      </x:c>
      <x:c r="L31" s="59" t="n">
        <x:v>62.19</x:v>
      </x:c>
      <x:c r="M31" s="57" t="n">
        <x:f>IFERROR(F31/(L31/3.3),"")</x:f>
        <x:v>2653.1596719729855</x:v>
      </x:c>
      <x:c r="N31" s="55" t="str">
        <x:v>3</x:v>
      </x:c>
      <x:c r="O31" s="57" t="n">
        <x:v>35700</x:v>
      </x:c>
      <x:c r="P31" s="60" t="n">
        <x:f>IFERROR(F31/O31-1,"")</x:f>
        <x:v>0.40056022408963576</x:v>
      </x:c>
      <x:c r="Q31" s="55" t="n">
        <x:v>2004</x:v>
      </x:c>
      <x:c r="R31" s="55" t="str">
        <x:v>비지하</x:v>
      </x:c>
      <x:c r="S31" s="55" t="str">
        <x:v>직거래</x:v>
      </x:c>
      <x:c r="T31" s="55" t="str"/>
      <x:c r="U31" s="55" t="n">
        <x:v>24959365</x:v>
      </x:c>
      <x:c r="V31" s="55" t="str">
        <x:v>활성</x:v>
      </x:c>
    </x:row>
    <x:row r="32">
      <x:c r="A32" s="55" t="n">
        <x:v>28</x:v>
      </x:c>
      <x:c r="B32" s="56" t="n">
        <x:v>46106</x:v>
      </x:c>
      <x:c r="C32" s="61" t="str">
        <x:v>청파동1가 3-22</x:v>
      </x:c>
      <x:c r="D32" s="61" t="str">
        <x:v>(3-22)</x:v>
      </x:c>
      <x:c r="E32" s="55" t="str">
        <x:v>다세대주택</x:v>
      </x:c>
      <x:c r="F32" s="57" t="n">
        <x:v>128500</x:v>
      </x:c>
      <x:c r="G32" s="58" t="n">
        <x:f>IFERROR(F32/10000,"")</x:f>
        <x:v>12.85</x:v>
      </x:c>
      <x:c r="H32" s="55" t="str">
        <x:v>연립</x:v>
      </x:c>
      <x:c r="I32" s="59" t="n">
        <x:v>75.98</x:v>
      </x:c>
      <x:c r="J32" s="59" t="n">
        <x:f>IFERROR(I32/3.3058,"")</x:f>
        <x:v>22.983846572690425</x:v>
      </x:c>
      <x:c r="K32" s="57" t="n">
        <x:f>IFERROR(F32/J32,"")</x:f>
        <x:v>5590.883127138721</x:v>
      </x:c>
      <x:c r="L32" s="59" t="n">
        <x:v>96.12</x:v>
      </x:c>
      <x:c r="M32" s="57" t="n">
        <x:f>IFERROR(F32/(L32/3.3),"")</x:f>
        <x:v>4411.6729088639195</x:v>
      </x:c>
      <x:c r="N32" s="55" t="str">
        <x:v>3</x:v>
      </x:c>
      <x:c r="O32" s="57" t="n">
        <x:v>73600</x:v>
      </x:c>
      <x:c r="P32" s="60" t="n">
        <x:f>IFERROR(F32/O32-1,"")</x:f>
        <x:v>0.7459239130434783</x:v>
      </x:c>
      <x:c r="Q32" s="55" t="n">
        <x:v>1983</x:v>
      </x:c>
      <x:c r="R32" s="55" t="str">
        <x:v>비지하</x:v>
      </x:c>
      <x:c r="S32" s="55" t="str">
        <x:v>중개거래</x:v>
      </x:c>
      <x:c r="T32" s="55" t="str">
        <x:v>서울 서대문구, 서울 용산구</x:v>
      </x:c>
      <x:c r="U32" s="55" t="n">
        <x:v>25444599</x:v>
      </x:c>
      <x:c r="V32" s="55" t="str">
        <x:v>활성</x:v>
      </x:c>
    </x:row>
    <x:row r="33">
      <x:c r="A33" s="55" t="n">
        <x:v>29</x:v>
      </x:c>
      <x:c r="B33" s="56" t="n">
        <x:v>46099</x:v>
      </x:c>
      <x:c r="C33" s="61" t="str">
        <x:v>청파동1가 1-65</x:v>
      </x:c>
      <x:c r="D33" s="61" t="str">
        <x:v>(1-65)</x:v>
      </x:c>
      <x:c r="E33" s="55" t="str">
        <x:v>다세대주택</x:v>
      </x:c>
      <x:c r="F33" s="57" t="n">
        <x:v>86000</x:v>
      </x:c>
      <x:c r="G33" s="58" t="n">
        <x:f>IFERROR(F33/10000,"")</x:f>
        <x:v>8.6</x:v>
      </x:c>
      <x:c r="H33" s="55" t="str">
        <x:v>다세대</x:v>
      </x:c>
      <x:c r="I33" s="59" t="n">
        <x:v>28.1</x:v>
      </x:c>
      <x:c r="J33" s="59" t="n">
        <x:f>IFERROR(I33/3.3058,"")</x:f>
        <x:v>8.50021174904713</x:v>
      </x:c>
      <x:c r="K33" s="57" t="n">
        <x:f>IFERROR(F33/J33,"")</x:f>
        <x:v>10117.395017793593</x:v>
      </x:c>
      <x:c r="L33" s="59" t="n">
        <x:v>50.86</x:v>
      </x:c>
      <x:c r="M33" s="57" t="n">
        <x:f>IFERROR(F33/(L33/3.3),"")</x:f>
        <x:v>5580.023594180102</x:v>
      </x:c>
      <x:c r="N33" s="55" t="str">
        <x:v>2</x:v>
      </x:c>
      <x:c r="O33" s="57" t="n">
        <x:v>50500</x:v>
      </x:c>
      <x:c r="P33" s="60" t="n">
        <x:f>IFERROR(F33/O33-1,"")</x:f>
        <x:v>0.7029702970297029</x:v>
      </x:c>
      <x:c r="Q33" s="55" t="n">
        <x:v>2009</x:v>
      </x:c>
      <x:c r="R33" s="55" t="str">
        <x:v>비지하</x:v>
      </x:c>
      <x:c r="S33" s="55" t="str">
        <x:v>중개거래</x:v>
      </x:c>
      <x:c r="T33" s="55" t="str"/>
      <x:c r="U33" s="55" t="n">
        <x:v>25444617</x:v>
      </x:c>
      <x:c r="V33" s="55" t="str">
        <x:v>활성</x:v>
      </x:c>
    </x:row>
    <x:row r="34">
      <x:c r="A34" s="55" t="n">
        <x:v>30</x:v>
      </x:c>
      <x:c r="B34" s="56" t="n">
        <x:v>46098</x:v>
      </x:c>
      <x:c r="C34" s="61" t="str">
        <x:v>청파동1가 89-4</x:v>
      </x:c>
      <x:c r="D34" s="61" t="str">
        <x:v>다인아트빌(89-4)</x:v>
      </x:c>
      <x:c r="E34" s="55" t="str">
        <x:v>다세대주택</x:v>
      </x:c>
      <x:c r="F34" s="57" t="n">
        <x:v>44500</x:v>
      </x:c>
      <x:c r="G34" s="58" t="n">
        <x:f>IFERROR(F34/10000,"")</x:f>
        <x:v>4.45</x:v>
      </x:c>
      <x:c r="H34" s="55" t="str">
        <x:v>다세대</x:v>
      </x:c>
      <x:c r="I34" s="59" t="n">
        <x:v>36.08</x:v>
      </x:c>
      <x:c r="J34" s="59" t="n">
        <x:f>IFERROR(I34/3.3058,"")</x:f>
        <x:v>10.91415088632101</x:v>
      </x:c>
      <x:c r="K34" s="57" t="n">
        <x:f>IFERROR(F34/J34,"")</x:f>
        <x:v>4077.275498891353</x:v>
      </x:c>
      <x:c r="L34" s="59" t="n">
        <x:v>43.23</x:v>
      </x:c>
      <x:c r="M34" s="57" t="n">
        <x:f>IFERROR(F34/(L34/3.3),"")</x:f>
        <x:v>3396.946564885496</x:v>
      </x:c>
      <x:c r="N34" s="55" t="str">
        <x:v>3</x:v>
      </x:c>
      <x:c r="O34" s="57" t="n">
        <x:v>57700</x:v>
      </x:c>
      <x:c r="P34" s="60" t="n">
        <x:f>IFERROR(F34/O34-1,"")</x:f>
        <x:v>-0.22876949740034658</x:v>
      </x:c>
      <x:c r="Q34" s="55" t="n">
        <x:v>2007</x:v>
      </x:c>
      <x:c r="R34" s="55" t="str">
        <x:v>비지하</x:v>
      </x:c>
      <x:c r="S34" s="55" t="str">
        <x:v>중개거래</x:v>
      </x:c>
      <x:c r="T34" s="55" t="str">
        <x:v>서울 용산구</x:v>
      </x:c>
      <x:c r="U34" s="55" t="n">
        <x:v>25444605</x:v>
      </x:c>
      <x:c r="V34" s="55" t="str">
        <x:v>활성</x:v>
      </x:c>
    </x:row>
    <x:row r="35">
      <x:c r="A35" s="55" t="n">
        <x:v>31</x:v>
      </x:c>
      <x:c r="B35" s="56" t="n">
        <x:v>46093</x:v>
      </x:c>
      <x:c r="C35" s="61" t="str">
        <x:v>청파동1가 58-18</x:v>
      </x:c>
      <x:c r="D35" s="61" t="str">
        <x:v>명신빌라(58-18)</x:v>
      </x:c>
      <x:c r="E35" s="55" t="str">
        <x:v>다세대주택</x:v>
      </x:c>
      <x:c r="F35" s="57" t="n">
        <x:v>110000</x:v>
      </x:c>
      <x:c r="G35" s="58" t="n">
        <x:f>IFERROR(F35/10000,"")</x:f>
        <x:v>11</x:v>
      </x:c>
      <x:c r="H35" s="55" t="str">
        <x:v>다세대</x:v>
      </x:c>
      <x:c r="I35" s="59" t="n">
        <x:v>43.69</x:v>
      </x:c>
      <x:c r="J35" s="59" t="n">
        <x:f>IFERROR(I35/3.3058,"")</x:f>
        <x:v>13.216165527255127</x:v>
      </x:c>
      <x:c r="K35" s="57" t="n">
        <x:f>IFERROR(F35/J35,"")</x:f>
        <x:v>8323.14030670634</x:v>
      </x:c>
      <x:c r="L35" s="59" t="n">
        <x:v>70.95</x:v>
      </x:c>
      <x:c r="M35" s="57" t="n">
        <x:f>IFERROR(F35/(L35/3.3),"")</x:f>
        <x:v>5116.279069767441</x:v>
      </x:c>
      <x:c r="N35" s="55" t="str">
        <x:v>2</x:v>
      </x:c>
      <x:c r="O35" s="57" t="n">
        <x:v>50800</x:v>
      </x:c>
      <x:c r="P35" s="60" t="n">
        <x:f>IFERROR(F35/O35-1,"")</x:f>
        <x:v>1.1653543307086616</x:v>
      </x:c>
      <x:c r="Q35" s="55" t="n">
        <x:v>1990</x:v>
      </x:c>
      <x:c r="R35" s="55" t="str">
        <x:v>비지하</x:v>
      </x:c>
      <x:c r="S35" s="55" t="str">
        <x:v>중개거래</x:v>
      </x:c>
      <x:c r="T35" s="55" t="str">
        <x:v>서울 마포구, 서울 용산구</x:v>
      </x:c>
      <x:c r="U35" s="55" t="n">
        <x:v>25444635</x:v>
      </x:c>
      <x:c r="V35" s="55" t="str">
        <x:v>활성</x:v>
      </x:c>
    </x:row>
    <x:row r="36">
      <x:c r="A36" s="55" t="n">
        <x:v>32</x:v>
      </x:c>
      <x:c r="B36" s="56" t="n">
        <x:v>46079</x:v>
      </x:c>
      <x:c r="C36" s="61" t="str">
        <x:v>청파동1가 1-65</x:v>
      </x:c>
      <x:c r="D36" s="61" t="str">
        <x:v>(1-65)</x:v>
      </x:c>
      <x:c r="E36" s="55" t="str">
        <x:v>다세대주택</x:v>
      </x:c>
      <x:c r="F36" s="57" t="n">
        <x:v>87000</x:v>
      </x:c>
      <x:c r="G36" s="58" t="n">
        <x:f>IFERROR(F36/10000,"")</x:f>
        <x:v>8.7</x:v>
      </x:c>
      <x:c r="H36" s="55" t="str">
        <x:v>다세대</x:v>
      </x:c>
      <x:c r="I36" s="59" t="n">
        <x:v>28.1</x:v>
      </x:c>
      <x:c r="J36" s="59" t="n">
        <x:f>IFERROR(I36/3.3058,"")</x:f>
        <x:v>8.50021174904713</x:v>
      </x:c>
      <x:c r="K36" s="57" t="n">
        <x:f>IFERROR(F36/J36,"")</x:f>
        <x:v>10235.039145907473</x:v>
      </x:c>
      <x:c r="L36" s="59" t="n">
        <x:v>50.86</x:v>
      </x:c>
      <x:c r="M36" s="57" t="n">
        <x:f>IFERROR(F36/(L36/3.3),"")</x:f>
        <x:v>5644.907589461266</x:v>
      </x:c>
      <x:c r="N36" s="55" t="str">
        <x:v>3</x:v>
      </x:c>
      <x:c r="O36" s="57" t="n">
        <x:v>50500</x:v>
      </x:c>
      <x:c r="P36" s="60" t="n">
        <x:f>IFERROR(F36/O36-1,"")</x:f>
        <x:v>0.7227722772277227</x:v>
      </x:c>
      <x:c r="Q36" s="55" t="n">
        <x:v>2009</x:v>
      </x:c>
      <x:c r="R36" s="55" t="str">
        <x:v>비지하</x:v>
      </x:c>
      <x:c r="S36" s="55" t="str">
        <x:v>중개거래</x:v>
      </x:c>
      <x:c r="T36" s="55" t="str">
        <x:v>서울 용산구</x:v>
      </x:c>
      <x:c r="U36" s="55" t="n">
        <x:v>25527679</x:v>
      </x:c>
      <x:c r="V36" s="55" t="str">
        <x:v>활성</x:v>
      </x:c>
    </x:row>
    <x:row r="37">
      <x:c r="A37" s="55" t="n">
        <x:v>33</x:v>
      </x:c>
      <x:c r="B37" s="56" t="n">
        <x:v>46065</x:v>
      </x:c>
      <x:c r="C37" s="61" t="str">
        <x:v>청파동1가 4-2</x:v>
      </x:c>
      <x:c r="D37" s="61" t="str">
        <x:v>안드레아빌라</x:v>
      </x:c>
      <x:c r="E37" s="55" t="str">
        <x:v>다세대주택</x:v>
      </x:c>
      <x:c r="F37" s="57" t="n">
        <x:v>80000</x:v>
      </x:c>
      <x:c r="G37" s="58" t="n">
        <x:f>IFERROR(F37/10000,"")</x:f>
        <x:v>8</x:v>
      </x:c>
      <x:c r="H37" s="55" t="str">
        <x:v>다세대</x:v>
      </x:c>
      <x:c r="I37" s="59" t="n">
        <x:v>24.31</x:v>
      </x:c>
      <x:c r="J37" s="59" t="n">
        <x:f>IFERROR(I37/3.3058,"")</x:f>
        <x:v>7.353741908161413</x:v>
      </x:c>
      <x:c r="K37" s="57" t="n">
        <x:f>IFERROR(F37/J37,"")</x:f>
        <x:v>10878.815302344714</x:v>
      </x:c>
      <x:c r="L37" s="59" t="n">
        <x:v>47.91</x:v>
      </x:c>
      <x:c r="M37" s="57" t="n">
        <x:f>IFERROR(F37/(L37/3.3),"")</x:f>
        <x:v>5510.331872260489</x:v>
      </x:c>
      <x:c r="N37" s="55" t="str">
        <x:v>4</x:v>
      </x:c>
      <x:c r="O37" s="57" t="n">
        <x:v>34900</x:v>
      </x:c>
      <x:c r="P37" s="60" t="n">
        <x:f>IFERROR(F37/O37-1,"")</x:f>
        <x:v>1.292263610315186</x:v>
      </x:c>
      <x:c r="Q37" s="55" t="n">
        <x:v>2001</x:v>
      </x:c>
      <x:c r="R37" s="55" t="str">
        <x:v>비지하</x:v>
      </x:c>
      <x:c r="S37" s="55" t="str">
        <x:v>중개거래</x:v>
      </x:c>
      <x:c r="T37" s="55" t="str">
        <x:v>서울 용산구</x:v>
      </x:c>
      <x:c r="U37" s="55" t="n">
        <x:v>25527704</x:v>
      </x:c>
      <x:c r="V37" s="55" t="str">
        <x:v>활성</x:v>
      </x:c>
    </x:row>
    <x:row r="38">
      <x:c r="A38" s="55" t="n">
        <x:v>34</x:v>
      </x:c>
      <x:c r="B38" s="56" t="n">
        <x:v>46062</x:v>
      </x:c>
      <x:c r="C38" s="61" t="str">
        <x:v>청파동1가 3-42</x:v>
      </x:c>
      <x:c r="D38" s="61" t="str"/>
      <x:c r="E38" s="55" t="str">
        <x:v>단독주택</x:v>
      </x:c>
      <x:c r="F38" s="57" t="n">
        <x:v>132000</x:v>
      </x:c>
      <x:c r="G38" s="58" t="n">
        <x:f>IFERROR(F38/10000,"")</x:f>
        <x:v>13.2</x:v>
      </x:c>
      <x:c r="H38" s="55" t="str">
        <x:v>단독</x:v>
      </x:c>
      <x:c r="I38" s="59" t="n">
        <x:v>142.1</x:v>
      </x:c>
      <x:c r="J38" s="59" t="n">
        <x:f>IFERROR(I38/3.3058,"")</x:f>
        <x:v>42.985056567245444</x:v>
      </x:c>
      <x:c r="K38" s="57" t="n">
        <x:f>IFERROR(F38/J38,"")</x:f>
        <x:v>3070.8346235045747</x:v>
      </x:c>
      <x:c r="L38" s="59" t="n">
        <x:v>186.72</x:v>
      </x:c>
      <x:c r="M38" s="57" t="n">
        <x:f>IFERROR(F38/(L38/3.3),"")</x:f>
        <x:v>2332.904884318766</x:v>
      </x:c>
      <x:c r="N38" s="55" t="str"/>
      <x:c r="O38" s="57" t="n">
        <x:v>66100</x:v>
      </x:c>
      <x:c r="P38" s="60" t="n">
        <x:f>IFERROR(F38/O38-1,"")</x:f>
        <x:v>0.9969742813918305</x:v>
      </x:c>
      <x:c r="Q38" s="55" t="n">
        <x:v>1988</x:v>
      </x:c>
      <x:c r="R38" s="55" t="str"/>
      <x:c r="S38" s="55" t="str">
        <x:v>중개거래</x:v>
      </x:c>
      <x:c r="T38" s="55" t="str">
        <x:v>서울 용산구</x:v>
      </x:c>
      <x:c r="U38" s="55" t="n">
        <x:v>16040829</x:v>
      </x:c>
      <x:c r="V38" s="55" t="str">
        <x:v>활성</x:v>
      </x:c>
    </x:row>
    <x:row r="39">
      <x:c r="A39" s="55" t="n">
        <x:v>35</x:v>
      </x:c>
      <x:c r="B39" s="56" t="n">
        <x:v>46060</x:v>
      </x:c>
      <x:c r="C39" s="61" t="str">
        <x:v>청파동1가 7-17</x:v>
      </x:c>
      <x:c r="D39" s="61" t="str">
        <x:v>노블하우스</x:v>
      </x:c>
      <x:c r="E39" s="55" t="str">
        <x:v>다세대주택</x:v>
      </x:c>
      <x:c r="F39" s="57" t="n">
        <x:v>88000</x:v>
      </x:c>
      <x:c r="G39" s="58" t="n">
        <x:f>IFERROR(F39/10000,"")</x:f>
        <x:v>8.8</x:v>
      </x:c>
      <x:c r="H39" s="55" t="str">
        <x:v>다세대</x:v>
      </x:c>
      <x:c r="I39" s="59" t="n">
        <x:v>34.71</x:v>
      </x:c>
      <x:c r="J39" s="59" t="n">
        <x:f>IFERROR(I39/3.3058,"")</x:f>
        <x:v>10.49972775122512</x:v>
      </x:c>
      <x:c r="K39" s="57" t="n">
        <x:f>IFERROR(F39/J39,"")</x:f>
        <x:v>8381.16969173149</x:v>
      </x:c>
      <x:c r="L39" s="59" t="n">
        <x:v>36.94</x:v>
      </x:c>
      <x:c r="M39" s="57" t="n">
        <x:f>IFERROR(F39/(L39/3.3),"")</x:f>
        <x:v>7861.396859772604</x:v>
      </x:c>
      <x:c r="N39" s="55" t="str">
        <x:v>1</x:v>
      </x:c>
      <x:c r="O39" s="57" t="n">
        <x:v>45400</x:v>
      </x:c>
      <x:c r="P39" s="60" t="n">
        <x:f>IFERROR(F39/O39-1,"")</x:f>
        <x:v>0.9383259911894273</x:v>
      </x:c>
      <x:c r="Q39" s="55" t="n">
        <x:v>2007</x:v>
      </x:c>
      <x:c r="R39" s="55" t="str">
        <x:v>비지하</x:v>
      </x:c>
      <x:c r="S39" s="55" t="str">
        <x:v>중개거래</x:v>
      </x:c>
      <x:c r="T39" s="55" t="str">
        <x:v>서울 마포구, 서울 서대문구</x:v>
      </x:c>
      <x:c r="U39" s="55" t="n">
        <x:v>25527727</x:v>
      </x:c>
      <x:c r="V39" s="55" t="str">
        <x:v>활성</x:v>
      </x:c>
    </x:row>
    <x:row r="40">
      <x:c r="A40" s="55" t="n">
        <x:v>36</x:v>
      </x:c>
      <x:c r="B40" s="56" t="n">
        <x:v>46060</x:v>
      </x:c>
      <x:c r="C40" s="61" t="str">
        <x:v>청파동1가 89-21</x:v>
      </x:c>
      <x:c r="D40" s="61" t="str">
        <x:v>윤호빌</x:v>
      </x:c>
      <x:c r="E40" s="55" t="str">
        <x:v>다세대주택</x:v>
      </x:c>
      <x:c r="F40" s="57" t="n">
        <x:v>84700</x:v>
      </x:c>
      <x:c r="G40" s="58" t="n">
        <x:f>IFERROR(F40/10000,"")</x:f>
        <x:v>8.47</x:v>
      </x:c>
      <x:c r="H40" s="55" t="str">
        <x:v>다세대</x:v>
      </x:c>
      <x:c r="I40" s="59" t="n">
        <x:v>26.4</x:v>
      </x:c>
      <x:c r="J40" s="59" t="n">
        <x:f>IFERROR(I40/3.3058,"")</x:f>
        <x:v>7.985964063161715</x:v>
      </x:c>
      <x:c r="K40" s="57" t="n">
        <x:f>IFERROR(F40/J40,"")</x:f>
        <x:v>10606.108333333334</x:v>
      </x:c>
      <x:c r="L40" s="59" t="n">
        <x:v>50.04</x:v>
      </x:c>
      <x:c r="M40" s="57" t="n">
        <x:f>IFERROR(F40/(L40/3.3),"")</x:f>
        <x:v>5585.731414868105</x:v>
      </x:c>
      <x:c r="N40" s="55" t="str">
        <x:v>3</x:v>
      </x:c>
      <x:c r="O40" s="57" t="n">
        <x:v>42600</x:v>
      </x:c>
      <x:c r="P40" s="60" t="n">
        <x:f>IFERROR(F40/O40-1,"")</x:f>
        <x:v>0.988262910798122</x:v>
      </x:c>
      <x:c r="Q40" s="55" t="n">
        <x:v>2011</x:v>
      </x:c>
      <x:c r="R40" s="55" t="str">
        <x:v>비지하</x:v>
      </x:c>
      <x:c r="S40" s="55" t="str">
        <x:v>중개거래</x:v>
      </x:c>
      <x:c r="T40" s="55" t="str">
        <x:v>서울 용산구</x:v>
      </x:c>
      <x:c r="U40" s="55" t="n">
        <x:v>25527702</x:v>
      </x:c>
      <x:c r="V40" s="55" t="str">
        <x:v>활성</x:v>
      </x:c>
    </x:row>
    <x:row r="41">
      <x:c r="A41" s="55" t="n">
        <x:v>37</x:v>
      </x:c>
      <x:c r="B41" s="56" t="n">
        <x:v>46052</x:v>
      </x:c>
      <x:c r="C41" s="61" t="str">
        <x:v>청파동1가 1-42</x:v>
      </x:c>
      <x:c r="D41" s="61" t="str">
        <x:v>청파궁전빌라트</x:v>
      </x:c>
      <x:c r="E41" s="55" t="str">
        <x:v>다세대주택</x:v>
      </x:c>
      <x:c r="F41" s="57" t="n">
        <x:v>84000</x:v>
      </x:c>
      <x:c r="G41" s="58" t="n">
        <x:f>IFERROR(F41/10000,"")</x:f>
        <x:v>8.4</x:v>
      </x:c>
      <x:c r="H41" s="55" t="str">
        <x:v>연립</x:v>
      </x:c>
      <x:c r="I41" s="59" t="n">
        <x:v>33.96</x:v>
      </x:c>
      <x:c r="J41" s="59" t="n">
        <x:f>IFERROR(I41/3.3058,"")</x:f>
        <x:v>10.272853772158026</x:v>
      </x:c>
      <x:c r="K41" s="57" t="n">
        <x:f>IFERROR(F41/J41,"")</x:f>
        <x:v>8176.890459363957</x:v>
      </x:c>
      <x:c r="L41" s="59" t="n">
        <x:v>83.92</x:v>
      </x:c>
      <x:c r="M41" s="57" t="n">
        <x:f>IFERROR(F41/(L41/3.3),"")</x:f>
        <x:v>3303.1458531935173</x:v>
      </x:c>
      <x:c r="N41" s="55" t="str">
        <x:v>-1</x:v>
      </x:c>
      <x:c r="O41" s="57" t="n">
        <x:v>39000</x:v>
      </x:c>
      <x:c r="P41" s="60" t="n">
        <x:f>IFERROR(F41/O41-1,"")</x:f>
        <x:v>1.1538461538461537</x:v>
      </x:c>
      <x:c r="Q41" s="55" t="n">
        <x:v>2001</x:v>
      </x:c>
      <x:c r="R41" s="55" t="str">
        <x:v>지하</x:v>
      </x:c>
      <x:c r="S41" s="55" t="str">
        <x:v>중개거래</x:v>
      </x:c>
      <x:c r="T41" s="55" t="str">
        <x:v>서울 용산구</x:v>
      </x:c>
      <x:c r="U41" s="55" t="n">
        <x:v>25523980</x:v>
      </x:c>
      <x:c r="V41" s="55" t="str">
        <x:v>활성</x:v>
      </x:c>
    </x:row>
    <x:row r="42">
      <x:c r="A42" s="55" t="n">
        <x:v>38</x:v>
      </x:c>
      <x:c r="B42" s="56" t="n">
        <x:v>46039</x:v>
      </x:c>
      <x:c r="C42" s="61" t="str">
        <x:v>청파동1가 89-31</x:v>
      </x:c>
      <x:c r="D42" s="61" t="str">
        <x:v>프라임빌(89-31)</x:v>
      </x:c>
      <x:c r="E42" s="55" t="str">
        <x:v>다세대주택</x:v>
      </x:c>
      <x:c r="F42" s="57" t="n">
        <x:v>87000</x:v>
      </x:c>
      <x:c r="G42" s="58" t="n">
        <x:f>IFERROR(F42/10000,"")</x:f>
        <x:v>8.7</x:v>
      </x:c>
      <x:c r="H42" s="55" t="str">
        <x:v>다세대</x:v>
      </x:c>
      <x:c r="I42" s="59" t="n">
        <x:v>33.06</x:v>
      </x:c>
      <x:c r="J42" s="59" t="n">
        <x:f>IFERROR(I42/3.3058,"")</x:f>
        <x:v>10.000604997277513</x:v>
      </x:c>
      <x:c r="K42" s="57" t="n">
        <x:f>IFERROR(F42/J42,"")</x:f>
        <x:v>8699.473684210525</x:v>
      </x:c>
      <x:c r="L42" s="59" t="n">
        <x:v>50.67</x:v>
      </x:c>
      <x:c r="M42" s="57" t="n">
        <x:f>IFERROR(F42/(L42/3.3),"")</x:f>
        <x:v>5666.074600355239</x:v>
      </x:c>
      <x:c r="N42" s="55" t="str">
        <x:v>1</x:v>
      </x:c>
      <x:c r="O42" s="57" t="n">
        <x:v>46100</x:v>
      </x:c>
      <x:c r="P42" s="60" t="n">
        <x:f>IFERROR(F42/O42-1,"")</x:f>
        <x:v>0.8872017353579176</x:v>
      </x:c>
      <x:c r="Q42" s="55" t="n">
        <x:v>2008</x:v>
      </x:c>
      <x:c r="R42" s="55" t="str">
        <x:v>비지하</x:v>
      </x:c>
      <x:c r="S42" s="55" t="str">
        <x:v>중개거래</x:v>
      </x:c>
      <x:c r="T42" s="55" t="str">
        <x:v>서울 용산구</x:v>
      </x:c>
      <x:c r="U42" s="55" t="n">
        <x:v>25523907</x:v>
      </x:c>
      <x:c r="V42" s="55" t="str">
        <x:v>활성</x:v>
      </x:c>
    </x:row>
    <x:row r="43">
      <x:c r="A43" s="55" t="n">
        <x:v>39</x:v>
      </x:c>
      <x:c r="B43" s="56" t="n">
        <x:v>46030</x:v>
      </x:c>
      <x:c r="C43" s="61" t="str">
        <x:v>청파동1가 3-70</x:v>
      </x:c>
      <x:c r="D43" s="61" t="str"/>
      <x:c r="E43" s="55" t="str">
        <x:v>단독주택</x:v>
      </x:c>
      <x:c r="F43" s="57" t="n">
        <x:v>116500</x:v>
      </x:c>
      <x:c r="G43" s="58" t="n">
        <x:f>IFERROR(F43/10000,"")</x:f>
        <x:v>11.65</x:v>
      </x:c>
      <x:c r="H43" s="55" t="str">
        <x:v>단독</x:v>
      </x:c>
      <x:c r="I43" s="59" t="n">
        <x:v>92.6</x:v>
      </x:c>
      <x:c r="J43" s="59" t="n">
        <x:f>IFERROR(I43/3.3058,"")</x:f>
        <x:v>28.011373948817226</x:v>
      </x:c>
      <x:c r="K43" s="57" t="n">
        <x:f>IFERROR(F43/J43,"")</x:f>
        <x:v>4159.02483801296</x:v>
      </x:c>
      <x:c r="L43" s="59" t="n">
        <x:v>100.55</x:v>
      </x:c>
      <x:c r="M43" s="57" t="n">
        <x:f>IFERROR(F43/(L43/3.3),"")</x:f>
        <x:v>3823.4709099950273</x:v>
      </x:c>
      <x:c r="N43" s="55" t="str"/>
      <x:c r="O43" s="57" t="n">
        <x:v>42800</x:v>
      </x:c>
      <x:c r="P43" s="60" t="n">
        <x:f>IFERROR(F43/O43-1,"")</x:f>
        <x:v>1.72196261682243</x:v>
      </x:c>
      <x:c r="Q43" s="55" t="n">
        <x:v>1960</x:v>
      </x:c>
      <x:c r="R43" s="55" t="str"/>
      <x:c r="S43" s="55" t="str">
        <x:v>중개거래</x:v>
      </x:c>
      <x:c r="T43" s="55" t="str">
        <x:v>서울 용산구</x:v>
      </x:c>
      <x:c r="U43" s="55" t="n">
        <x:v>14405848</x:v>
      </x:c>
      <x:c r="V43" s="55" t="str">
        <x:v>활성</x:v>
      </x:c>
    </x:row>
    <x:row r="44">
      <x:c r="A44" s="55" t="n">
        <x:v>40</x:v>
      </x:c>
      <x:c r="B44" s="56" t="n">
        <x:v>46025</x:v>
      </x:c>
      <x:c r="C44" s="61" t="str">
        <x:v>청파동1가 3-54</x:v>
      </x:c>
      <x:c r="D44" s="61" t="str"/>
      <x:c r="E44" s="55" t="str">
        <x:v>단독주택</x:v>
      </x:c>
      <x:c r="F44" s="57" t="n">
        <x:v>120000</x:v>
      </x:c>
      <x:c r="G44" s="58" t="n">
        <x:f>IFERROR(F44/10000,"")</x:f>
        <x:v>12</x:v>
      </x:c>
      <x:c r="H44" s="55" t="str">
        <x:v>단독</x:v>
      </x:c>
      <x:c r="I44" s="59" t="n">
        <x:v>115.7</x:v>
      </x:c>
      <x:c r="J44" s="59" t="n">
        <x:f>IFERROR(I44/3.3058,"")</x:f>
        <x:v>34.999092504083734</x:v>
      </x:c>
      <x:c r="K44" s="57" t="n">
        <x:f>IFERROR(F44/J44,"")</x:f>
        <x:v>3428.6603284356092</x:v>
      </x:c>
      <x:c r="L44" s="59" t="n">
        <x:v>180.09</x:v>
      </x:c>
      <x:c r="M44" s="57" t="n">
        <x:f>IFERROR(F44/(L44/3.3),"")</x:f>
        <x:v>2198.9005497251374</x:v>
      </x:c>
      <x:c r="N44" s="55" t="str"/>
      <x:c r="O44" s="57" t="n">
        <x:v>50600</x:v>
      </x:c>
      <x:c r="P44" s="60" t="n">
        <x:f>IFERROR(F44/O44-1,"")</x:f>
        <x:v>1.3715415019762847</x:v>
      </x:c>
      <x:c r="Q44" s="55" t="n">
        <x:v>1989</x:v>
      </x:c>
      <x:c r="R44" s="55" t="str"/>
      <x:c r="S44" s="55" t="str">
        <x:v>중개거래</x:v>
      </x:c>
      <x:c r="T44" s="55" t="str">
        <x:v>서울 용산구</x:v>
      </x:c>
      <x:c r="U44" s="55" t="n">
        <x:v>14405847</x:v>
      </x:c>
      <x:c r="V44" s="55" t="str">
        <x:v>활성</x:v>
      </x:c>
    </x:row>
    <x:row r="45">
      <x:c r="A45" s="55" t="n">
        <x:v>41</x:v>
      </x:c>
      <x:c r="B45" s="56" t="n">
        <x:v>46022</x:v>
      </x:c>
      <x:c r="C45" s="61" t="str">
        <x:v>청파동1가 148-2</x:v>
      </x:c>
      <x:c r="D45" s="61" t="str">
        <x:v>(148-2)</x:v>
      </x:c>
      <x:c r="E45" s="55" t="str">
        <x:v>다세대주택</x:v>
      </x:c>
      <x:c r="F45" s="57" t="n">
        <x:v>69640</x:v>
      </x:c>
      <x:c r="G45" s="58" t="n">
        <x:f>IFERROR(F45/10000,"")</x:f>
        <x:v>6.964</x:v>
      </x:c>
      <x:c r="H45" s="55" t="str">
        <x:v>다세대</x:v>
      </x:c>
      <x:c r="I45" s="59" t="n">
        <x:v>17.9208</x:v>
      </x:c>
      <x:c r="J45" s="59" t="n">
        <x:f>IFERROR(I45/3.3058,"")</x:f>
        <x:v>5.421017605420776</x:v>
      </x:c>
      <x:c r="K45" s="57" t="n">
        <x:f>IFERROR(F45/J45,"")</x:f>
        <x:v>12846.296593902058</x:v>
      </x:c>
      <x:c r="L45" s="59" t="n">
        <x:v>29.94</x:v>
      </x:c>
      <x:c r="M45" s="57" t="n">
        <x:f>IFERROR(F45/(L45/3.3),"")</x:f>
        <x:v>7675.751503006011</x:v>
      </x:c>
      <x:c r="N45" s="55" t="str">
        <x:v>4</x:v>
      </x:c>
      <x:c r="O45" s="57" t="n">
        <x:v>45100</x:v>
      </x:c>
      <x:c r="P45" s="60" t="n">
        <x:f>IFERROR(F45/O45-1,"")</x:f>
        <x:v>0.5441241685144125</x:v>
      </x:c>
      <x:c r="Q45" s="55" t="n">
        <x:v>2021</x:v>
      </x:c>
      <x:c r="R45" s="55" t="str">
        <x:v>비지하</x:v>
      </x:c>
      <x:c r="S45" s="55" t="str">
        <x:v>중개거래</x:v>
      </x:c>
      <x:c r="T45" s="55" t="str">
        <x:v>서울 용산구</x:v>
      </x:c>
      <x:c r="U45" s="55" t="n">
        <x:v>25530768</x:v>
      </x:c>
      <x:c r="V45" s="55" t="str">
        <x:v>활성</x:v>
      </x:c>
    </x:row>
    <x:row r="46">
      <x:c r="A46" s="55" t="n">
        <x:v>42</x:v>
      </x:c>
      <x:c r="B46" s="56" t="n">
        <x:v>45990</x:v>
      </x:c>
      <x:c r="C46" s="61" t="str">
        <x:v>청파동1가 14-2</x:v>
      </x:c>
      <x:c r="D46" s="61" t="str">
        <x:v>(14-2)</x:v>
      </x:c>
      <x:c r="E46" s="55" t="str">
        <x:v>다세대주택</x:v>
      </x:c>
      <x:c r="F46" s="57" t="n">
        <x:v>103000</x:v>
      </x:c>
      <x:c r="G46" s="58" t="n">
        <x:f>IFERROR(F46/10000,"")</x:f>
        <x:v>10.3</x:v>
      </x:c>
      <x:c r="H46" s="55" t="str">
        <x:v>다세대</x:v>
      </x:c>
      <x:c r="I46" s="59" t="n">
        <x:v>56.02</x:v>
      </x:c>
      <x:c r="J46" s="59" t="n">
        <x:f>IFERROR(I46/3.3058,"")</x:f>
        <x:v>16.945973743118156</x:v>
      </x:c>
      <x:c r="K46" s="57" t="n">
        <x:f>IFERROR(F46/J46,"")</x:f>
        <x:v>6078.13995001785</x:v>
      </x:c>
      <x:c r="L46" s="59" t="n">
        <x:v>56.67</x:v>
      </x:c>
      <x:c r="M46" s="57" t="n">
        <x:f>IFERROR(F46/(L46/3.3),"")</x:f>
        <x:v>5997.882477501323</x:v>
      </x:c>
      <x:c r="N46" s="55" t="str">
        <x:v>3</x:v>
      </x:c>
      <x:c r="O46" s="57" t="n">
        <x:v>68100</x:v>
      </x:c>
      <x:c r="P46" s="60" t="n">
        <x:f>IFERROR(F46/O46-1,"")</x:f>
        <x:v>0.5124816446402349</x:v>
      </x:c>
      <x:c r="Q46" s="55" t="n">
        <x:v>2007</x:v>
      </x:c>
      <x:c r="R46" s="55" t="str">
        <x:v>비지하</x:v>
      </x:c>
      <x:c r="S46" s="55" t="str">
        <x:v>중개거래</x:v>
      </x:c>
      <x:c r="T46" s="55" t="str">
        <x:v>서울 용산구</x:v>
      </x:c>
      <x:c r="U46" s="55" t="n">
        <x:v>25533755</x:v>
      </x:c>
      <x:c r="V46" s="55" t="str">
        <x:v>활성</x:v>
      </x:c>
    </x:row>
    <x:row r="47">
      <x:c r="A47" s="55" t="n">
        <x:v>43</x:v>
      </x:c>
      <x:c r="B47" s="56" t="n">
        <x:v>45990</x:v>
      </x:c>
      <x:c r="C47" s="61" t="str">
        <x:v>청파동1가 89-27</x:v>
      </x:c>
      <x:c r="D47" s="61" t="str">
        <x:v>다인빌라(89-27)</x:v>
      </x:c>
      <x:c r="E47" s="55" t="str">
        <x:v>다세대주택</x:v>
      </x:c>
      <x:c r="F47" s="57" t="n">
        <x:v>58000</x:v>
      </x:c>
      <x:c r="G47" s="58" t="n">
        <x:f>IFERROR(F47/10000,"")</x:f>
        <x:v>5.8</x:v>
      </x:c>
      <x:c r="H47" s="55" t="str">
        <x:v>다세대</x:v>
      </x:c>
      <x:c r="I47" s="59" t="n">
        <x:v>23.14</x:v>
      </x:c>
      <x:c r="J47" s="59" t="n">
        <x:f>IFERROR(I47/3.3058,"")</x:f>
        <x:v>6.999818500816747</x:v>
      </x:c>
      <x:c r="K47" s="57" t="n">
        <x:f>IFERROR(F47/J47,"")</x:f>
        <x:v>8285.929127052723</x:v>
      </x:c>
      <x:c r="L47" s="59" t="n">
        <x:v>21.72</x:v>
      </x:c>
      <x:c r="M47" s="57" t="n">
        <x:f>IFERROR(F47/(L47/3.3),"")</x:f>
        <x:v>8812.154696132597</x:v>
      </x:c>
      <x:c r="N47" s="55" t="str">
        <x:v>1</x:v>
      </x:c>
      <x:c r="O47" s="57" t="n">
        <x:v>32100</x:v>
      </x:c>
      <x:c r="P47" s="60" t="n">
        <x:f>IFERROR(F47/O47-1,"")</x:f>
        <x:v>0.8068535825545171</x:v>
      </x:c>
      <x:c r="Q47" s="55" t="n">
        <x:v>2007</x:v>
      </x:c>
      <x:c r="R47" s="55" t="str">
        <x:v>비지하</x:v>
      </x:c>
      <x:c r="S47" s="55" t="str">
        <x:v>중개거래</x:v>
      </x:c>
      <x:c r="T47" s="55" t="str">
        <x:v>서울 용산구</x:v>
      </x:c>
      <x:c r="U47" s="55" t="n">
        <x:v>25533736</x:v>
      </x:c>
      <x:c r="V47" s="55" t="str">
        <x:v>활성</x:v>
      </x:c>
    </x:row>
    <x:row r="48">
      <x:c r="A48" s="55" t="n">
        <x:v>44</x:v>
      </x:c>
      <x:c r="B48" s="56" t="n">
        <x:v>45988</x:v>
      </x:c>
      <x:c r="C48" s="61" t="str">
        <x:v>청파동1가 89-32</x:v>
      </x:c>
      <x:c r="D48" s="61" t="str">
        <x:v>다흥</x:v>
      </x:c>
      <x:c r="E48" s="55" t="str">
        <x:v>다세대주택</x:v>
      </x:c>
      <x:c r="F48" s="57" t="n">
        <x:v>86000</x:v>
      </x:c>
      <x:c r="G48" s="58" t="n">
        <x:f>IFERROR(F48/10000,"")</x:f>
        <x:v>8.6</x:v>
      </x:c>
      <x:c r="H48" s="55" t="str">
        <x:v>다세대</x:v>
      </x:c>
      <x:c r="I48" s="59" t="n">
        <x:v>33.058</x:v>
      </x:c>
      <x:c r="J48" s="59" t="n">
        <x:f>IFERROR(I48/3.3058,"")</x:f>
        <x:v>10</x:v>
      </x:c>
      <x:c r="K48" s="57" t="n">
        <x:f>IFERROR(F48/J48,"")</x:f>
        <x:v>8600</x:v>
      </x:c>
      <x:c r="L48" s="59" t="n">
        <x:v>50.04</x:v>
      </x:c>
      <x:c r="M48" s="57" t="n">
        <x:f>IFERROR(F48/(L48/3.3),"")</x:f>
        <x:v>5671.462829736211</x:v>
      </x:c>
      <x:c r="N48" s="55" t="str">
        <x:v>2</x:v>
      </x:c>
      <x:c r="O48" s="57" t="n">
        <x:v>49300</x:v>
      </x:c>
      <x:c r="P48" s="60" t="n">
        <x:f>IFERROR(F48/O48-1,"")</x:f>
        <x:v>0.7444219066937119</x:v>
      </x:c>
      <x:c r="Q48" s="55" t="n">
        <x:v>2008</x:v>
      </x:c>
      <x:c r="R48" s="55" t="str">
        <x:v>비지하</x:v>
      </x:c>
      <x:c r="S48" s="55" t="str">
        <x:v>중개거래</x:v>
      </x:c>
      <x:c r="T48" s="55" t="str">
        <x:v>서울 용산구</x:v>
      </x:c>
      <x:c r="U48" s="55" t="n">
        <x:v>25533752</x:v>
      </x:c>
      <x:c r="V48" s="55" t="str">
        <x:v>활성</x:v>
      </x:c>
    </x:row>
    <x:row r="49">
      <x:c r="A49" s="55" t="n">
        <x:v>45</x:v>
      </x:c>
      <x:c r="B49" s="56" t="n">
        <x:v>45987</x:v>
      </x:c>
      <x:c r="C49" s="61" t="str">
        <x:v>청파동1가 58-19</x:v>
      </x:c>
      <x:c r="D49" s="61" t="str">
        <x:v>(58-19)</x:v>
      </x:c>
      <x:c r="E49" s="55" t="str">
        <x:v>다세대주택</x:v>
      </x:c>
      <x:c r="F49" s="57" t="n">
        <x:v>96000</x:v>
      </x:c>
      <x:c r="G49" s="58" t="n">
        <x:f>IFERROR(F49/10000,"")</x:f>
        <x:v>9.6</x:v>
      </x:c>
      <x:c r="H49" s="55" t="str">
        <x:v>다세대</x:v>
      </x:c>
      <x:c r="I49" s="59" t="n">
        <x:v>46.28</x:v>
      </x:c>
      <x:c r="J49" s="59" t="n">
        <x:f>IFERROR(I49/3.3058,"")</x:f>
        <x:v>13.999637001633493</x:v>
      </x:c>
      <x:c r="K49" s="57" t="n">
        <x:f>IFERROR(F49/J49,"")</x:f>
        <x:v>6857.3206568712185</x:v>
      </x:c>
      <x:c r="L49" s="59" t="n">
        <x:v>72.94</x:v>
      </x:c>
      <x:c r="M49" s="57" t="n">
        <x:f>IFERROR(F49/(L49/3.3),"")</x:f>
        <x:v>4343.295859610638</x:v>
      </x:c>
      <x:c r="N49" s="55" t="str">
        <x:v>4</x:v>
      </x:c>
      <x:c r="O49" s="57" t="n">
        <x:v>60200</x:v>
      </x:c>
      <x:c r="P49" s="60" t="n">
        <x:f>IFERROR(F49/O49-1,"")</x:f>
        <x:v>0.5946843853820598</x:v>
      </x:c>
      <x:c r="Q49" s="55" t="n">
        <x:v>1994</x:v>
      </x:c>
      <x:c r="R49" s="55" t="str">
        <x:v>비지하</x:v>
      </x:c>
      <x:c r="S49" s="55" t="str">
        <x:v>중개거래</x:v>
      </x:c>
      <x:c r="T49" s="55" t="str">
        <x:v>서울 용산구</x:v>
      </x:c>
      <x:c r="U49" s="55" t="n">
        <x:v>25533765</x:v>
      </x:c>
      <x:c r="V49" s="55" t="str">
        <x:v>활성</x:v>
      </x:c>
    </x:row>
    <x:row r="50">
      <x:c r="A50" s="55" t="n">
        <x:v>46</x:v>
      </x:c>
      <x:c r="B50" s="56" t="n">
        <x:v>45981</x:v>
      </x:c>
      <x:c r="C50" s="61" t="str">
        <x:v>청파동1가 89-8</x:v>
      </x:c>
      <x:c r="D50" s="61" t="str">
        <x:v>아튼빌라</x:v>
      </x:c>
      <x:c r="E50" s="55" t="str">
        <x:v>다세대주택</x:v>
      </x:c>
      <x:c r="F50" s="57" t="n">
        <x:v>59500</x:v>
      </x:c>
      <x:c r="G50" s="58" t="n">
        <x:f>IFERROR(F50/10000,"")</x:f>
        <x:v>5.95</x:v>
      </x:c>
      <x:c r="H50" s="55" t="str">
        <x:v>다세대</x:v>
      </x:c>
      <x:c r="I50" s="59" t="n">
        <x:v>28.84</x:v>
      </x:c>
      <x:c r="J50" s="59" t="n">
        <x:f>IFERROR(I50/3.3058,"")</x:f>
        <x:v>8.724060741726662</x:v>
      </x:c>
      <x:c r="K50" s="57" t="n">
        <x:f>IFERROR(F50/J50,"")</x:f>
        <x:v>6820.218446601942</x:v>
      </x:c>
      <x:c r="L50" s="59" t="n">
        <x:v>36.48</x:v>
      </x:c>
      <x:c r="M50" s="57" t="n">
        <x:f>IFERROR(F50/(L50/3.3),"")</x:f>
        <x:v>5382.401315789473</x:v>
      </x:c>
      <x:c r="N50" s="55" t="str">
        <x:v>-1</x:v>
      </x:c>
      <x:c r="O50" s="57" t="n">
        <x:v>27500</x:v>
      </x:c>
      <x:c r="P50" s="60" t="n">
        <x:f>IFERROR(F50/O50-1,"")</x:f>
        <x:v>1.1636363636363636</x:v>
      </x:c>
      <x:c r="Q50" s="55" t="n">
        <x:v>1988</x:v>
      </x:c>
      <x:c r="R50" s="55" t="str">
        <x:v>지하</x:v>
      </x:c>
      <x:c r="S50" s="55" t="str">
        <x:v>중개거래</x:v>
      </x:c>
      <x:c r="T50" s="55" t="str">
        <x:v>서울 용산구</x:v>
      </x:c>
      <x:c r="U50" s="55" t="n">
        <x:v>25533782</x:v>
      </x:c>
      <x:c r="V50" s="55" t="str">
        <x:v>활성</x:v>
      </x:c>
    </x:row>
    <x:row r="51">
      <x:c r="A51" s="55" t="n">
        <x:v>47</x:v>
      </x:c>
      <x:c r="B51" s="56" t="n">
        <x:v>45980</x:v>
      </x:c>
      <x:c r="C51" s="61" t="str">
        <x:v>청파동1가 89-8</x:v>
      </x:c>
      <x:c r="D51" s="61" t="str">
        <x:v>아튼빌라</x:v>
      </x:c>
      <x:c r="E51" s="55" t="str">
        <x:v>다세대주택</x:v>
      </x:c>
      <x:c r="F51" s="57" t="n">
        <x:v>70000</x:v>
      </x:c>
      <x:c r="G51" s="58" t="n">
        <x:f>IFERROR(F51/10000,"")</x:f>
        <x:v>7</x:v>
      </x:c>
      <x:c r="H51" s="55" t="str">
        <x:v>다세대</x:v>
      </x:c>
      <x:c r="I51" s="59" t="n">
        <x:v>28.83</x:v>
      </x:c>
      <x:c r="J51" s="59" t="n">
        <x:f>IFERROR(I51/3.3058,"")</x:f>
        <x:v>8.7210357553391</x:v>
      </x:c>
      <x:c r="K51" s="57" t="n">
        <x:f>IFERROR(F51/J51,"")</x:f>
        <x:v>8026.56954561221</x:v>
      </x:c>
      <x:c r="L51" s="59" t="n">
        <x:v>36.48</x:v>
      </x:c>
      <x:c r="M51" s="57" t="n">
        <x:f>IFERROR(F51/(L51/3.3),"")</x:f>
        <x:v>6332.236842105263</x:v>
      </x:c>
      <x:c r="N51" s="55" t="str">
        <x:v>2</x:v>
      </x:c>
      <x:c r="O51" s="57" t="n">
        <x:v>36900</x:v>
      </x:c>
      <x:c r="P51" s="60" t="n">
        <x:f>IFERROR(F51/O51-1,"")</x:f>
        <x:v>0.897018970189702</x:v>
      </x:c>
      <x:c r="Q51" s="55" t="n">
        <x:v>1988</x:v>
      </x:c>
      <x:c r="R51" s="55" t="str">
        <x:v>비지하</x:v>
      </x:c>
      <x:c r="S51" s="55" t="str">
        <x:v>중개거래</x:v>
      </x:c>
      <x:c r="T51" s="55" t="str">
        <x:v>서울 용산구</x:v>
      </x:c>
      <x:c r="U51" s="55" t="n">
        <x:v>25533789</x:v>
      </x:c>
      <x:c r="V51" s="55" t="str">
        <x:v>활성</x:v>
      </x:c>
    </x:row>
    <x:row r="52">
      <x:c r="A52" s="55" t="n">
        <x:v>48</x:v>
      </x:c>
      <x:c r="B52" s="56" t="n">
        <x:v>45979</x:v>
      </x:c>
      <x:c r="C52" s="61" t="str">
        <x:v>청파동1가 200-12</x:v>
      </x:c>
      <x:c r="D52" s="61" t="str">
        <x:v>(200-12)</x:v>
      </x:c>
      <x:c r="E52" s="55" t="str">
        <x:v>다세대주택</x:v>
      </x:c>
      <x:c r="F52" s="57" t="n">
        <x:v>84000</x:v>
      </x:c>
      <x:c r="G52" s="58" t="n">
        <x:f>IFERROR(F52/10000,"")</x:f>
        <x:v>8.4</x:v>
      </x:c>
      <x:c r="H52" s="55" t="str">
        <x:v>다세대</x:v>
      </x:c>
      <x:c r="I52" s="59" t="n">
        <x:v>69.75</x:v>
      </x:c>
      <x:c r="J52" s="59" t="n">
        <x:f>IFERROR(I52/3.3058,"")</x:f>
        <x:v>21.09928005323976</x:v>
      </x:c>
      <x:c r="K52" s="57" t="n">
        <x:f>IFERROR(F52/J52,"")</x:f>
        <x:v>3981.178494623656</x:v>
      </x:c>
      <x:c r="L52" s="59" t="n">
        <x:v>94.75</x:v>
      </x:c>
      <x:c r="M52" s="57" t="n">
        <x:f>IFERROR(F52/(L52/3.3),"")</x:f>
        <x:v>2925.593667546174</x:v>
      </x:c>
      <x:c r="N52" s="55" t="str">
        <x:v>1</x:v>
      </x:c>
      <x:c r="O52" s="57" t="n">
        <x:v>54300</x:v>
      </x:c>
      <x:c r="P52" s="60" t="n">
        <x:f>IFERROR(F52/O52-1,"")</x:f>
        <x:v>0.5469613259668509</x:v>
      </x:c>
      <x:c r="Q52" s="55" t="n">
        <x:v>1979</x:v>
      </x:c>
      <x:c r="R52" s="55" t="str">
        <x:v>비지하</x:v>
      </x:c>
      <x:c r="S52" s="55" t="str">
        <x:v>중개거래</x:v>
      </x:c>
      <x:c r="T52" s="55" t="str">
        <x:v>서울 마포구, 서울 용산구</x:v>
      </x:c>
      <x:c r="U52" s="55" t="n">
        <x:v>25533776</x:v>
      </x:c>
      <x:c r="V52" s="55" t="str">
        <x:v>활성</x:v>
      </x:c>
    </x:row>
    <x:row r="53">
      <x:c r="A53" s="55" t="n">
        <x:v>49</x:v>
      </x:c>
      <x:c r="B53" s="56" t="n">
        <x:v>45978</x:v>
      </x:c>
      <x:c r="C53" s="61" t="str">
        <x:v>청파동1가 1-46</x:v>
      </x:c>
      <x:c r="D53" s="61" t="str">
        <x:v>에버그린</x:v>
      </x:c>
      <x:c r="E53" s="55" t="str">
        <x:v>다세대주택</x:v>
      </x:c>
      <x:c r="F53" s="57" t="n">
        <x:v>88000</x:v>
      </x:c>
      <x:c r="G53" s="58" t="n">
        <x:f>IFERROR(F53/10000,"")</x:f>
        <x:v>8.8</x:v>
      </x:c>
      <x:c r="H53" s="55" t="str">
        <x:v>다세대</x:v>
      </x:c>
      <x:c r="I53" s="59" t="n">
        <x:v>29.8</x:v>
      </x:c>
      <x:c r="J53" s="59" t="n">
        <x:f>IFERROR(I53/3.3058,"")</x:f>
        <x:v>9.014459434932542</x:v>
      </x:c>
      <x:c r="K53" s="57" t="n">
        <x:f>IFERROR(F53/J53,"")</x:f>
        <x:v>9762.093959731545</x:v>
      </x:c>
      <x:c r="L53" s="59" t="n">
        <x:v>61.74</x:v>
      </x:c>
      <x:c r="M53" s="57" t="n">
        <x:f>IFERROR(F53/(L53/3.3),"")</x:f>
        <x:v>4703.595724003887</x:v>
      </x:c>
      <x:c r="N53" s="55" t="str">
        <x:v>3</x:v>
      </x:c>
      <x:c r="O53" s="57" t="n">
        <x:v>45800</x:v>
      </x:c>
      <x:c r="P53" s="60" t="n">
        <x:f>IFERROR(F53/O53-1,"")</x:f>
        <x:v>0.9213973799126638</x:v>
      </x:c>
      <x:c r="Q53" s="55" t="n">
        <x:v>2008</x:v>
      </x:c>
      <x:c r="R53" s="55" t="str">
        <x:v>비지하</x:v>
      </x:c>
      <x:c r="S53" s="55" t="str">
        <x:v>중개거래</x:v>
      </x:c>
      <x:c r="T53" s="55" t="str">
        <x:v>서울 서대문구, 서울 용산구</x:v>
      </x:c>
      <x:c r="U53" s="55" t="n">
        <x:v>25533783</x:v>
      </x:c>
      <x:c r="V53" s="55" t="str">
        <x:v>활성</x:v>
      </x:c>
    </x:row>
    <x:row r="54">
      <x:c r="A54" s="55" t="n">
        <x:v>50</x:v>
      </x:c>
      <x:c r="B54" s="56" t="n">
        <x:v>45973</x:v>
      </x:c>
      <x:c r="C54" s="61" t="str">
        <x:v>청파동1가 89-5</x:v>
      </x:c>
      <x:c r="D54" s="61" t="str">
        <x:v>동궁빌라</x:v>
      </x:c>
      <x:c r="E54" s="55" t="str">
        <x:v>다세대주택</x:v>
      </x:c>
      <x:c r="F54" s="57" t="n">
        <x:v>92000</x:v>
      </x:c>
      <x:c r="G54" s="58" t="n">
        <x:f>IFERROR(F54/10000,"")</x:f>
        <x:v>9.2</x:v>
      </x:c>
      <x:c r="H54" s="55" t="str">
        <x:v>다세대</x:v>
      </x:c>
      <x:c r="I54" s="59" t="n">
        <x:v>33.058</x:v>
      </x:c>
      <x:c r="J54" s="59" t="n">
        <x:f>IFERROR(I54/3.3058,"")</x:f>
        <x:v>10</x:v>
      </x:c>
      <x:c r="K54" s="57" t="n">
        <x:f>IFERROR(F54/J54,"")</x:f>
        <x:v>9200</x:v>
      </x:c>
      <x:c r="L54" s="59" t="n">
        <x:v>60.06</x:v>
      </x:c>
      <x:c r="M54" s="57" t="n">
        <x:f>IFERROR(F54/(L54/3.3),"")</x:f>
        <x:v>5054.945054945054</x:v>
      </x:c>
      <x:c r="N54" s="55" t="str">
        <x:v>3</x:v>
      </x:c>
      <x:c r="O54" s="57" t="n">
        <x:v>51400</x:v>
      </x:c>
      <x:c r="P54" s="60" t="n">
        <x:f>IFERROR(F54/O54-1,"")</x:f>
        <x:v>0.7898832684824904</x:v>
      </x:c>
      <x:c r="Q54" s="55" t="n">
        <x:v>2009</x:v>
      </x:c>
      <x:c r="R54" s="55" t="str">
        <x:v>비지하</x:v>
      </x:c>
      <x:c r="S54" s="55" t="str">
        <x:v>중개거래</x:v>
      </x:c>
      <x:c r="T54" s="55" t="str">
        <x:v>서울 용산구</x:v>
      </x:c>
      <x:c r="U54" s="55" t="n">
        <x:v>25533786</x:v>
      </x:c>
      <x:c r="V54" s="55" t="str">
        <x:v>활성</x:v>
      </x:c>
    </x:row>
    <x:row r="55">
      <x:c r="A55" s="55" t="n">
        <x:v>51</x:v>
      </x:c>
      <x:c r="B55" s="56" t="n">
        <x:v>45969</x:v>
      </x:c>
      <x:c r="C55" s="61" t="str">
        <x:v>청파동1가 89-182</x:v>
      </x:c>
      <x:c r="D55" s="61" t="str">
        <x:v>(89-182)</x:v>
      </x:c>
      <x:c r="E55" s="55" t="str">
        <x:v>다세대주택</x:v>
      </x:c>
      <x:c r="F55" s="57" t="n">
        <x:v>65000</x:v>
      </x:c>
      <x:c r="G55" s="58" t="n">
        <x:f>IFERROR(F55/10000,"")</x:f>
        <x:v>6.5</x:v>
      </x:c>
      <x:c r="H55" s="55" t="str">
        <x:v>다세대</x:v>
      </x:c>
      <x:c r="I55" s="59" t="n">
        <x:v>24.7</x:v>
      </x:c>
      <x:c r="J55" s="59" t="n">
        <x:f>IFERROR(I55/3.3058,"")</x:f>
        <x:v>7.471716377276302</x:v>
      </x:c>
      <x:c r="K55" s="57" t="n">
        <x:f>IFERROR(F55/J55,"")</x:f>
        <x:v>8699.473684210527</x:v>
      </x:c>
      <x:c r="L55" s="59" t="n">
        <x:v>35</x:v>
      </x:c>
      <x:c r="M55" s="57" t="n">
        <x:f>IFERROR(F55/(L55/3.3),"")</x:f>
        <x:v>6128.5714285714275</x:v>
      </x:c>
      <x:c r="N55" s="55" t="str">
        <x:v>1</x:v>
      </x:c>
      <x:c r="O55" s="57" t="n">
        <x:v>32500</x:v>
      </x:c>
      <x:c r="P55" s="60" t="n">
        <x:f>IFERROR(F55/O55-1,"")</x:f>
        <x:v>1</x:v>
      </x:c>
      <x:c r="Q55" s="55" t="n">
        <x:v>1986</x:v>
      </x:c>
      <x:c r="R55" s="55" t="str">
        <x:v>비지하</x:v>
      </x:c>
      <x:c r="S55" s="55" t="str">
        <x:v>중개거래</x:v>
      </x:c>
      <x:c r="T55" s="55" t="str">
        <x:v>서울 마포구, 서울 용산구</x:v>
      </x:c>
      <x:c r="U55" s="55" t="n">
        <x:v>25533806</x:v>
      </x:c>
      <x:c r="V55" s="55" t="str">
        <x:v>활성</x:v>
      </x:c>
    </x:row>
    <x:row r="56">
      <x:c r="A56" s="55" t="n">
        <x:v>52</x:v>
      </x:c>
      <x:c r="B56" s="56" t="n">
        <x:v>45959</x:v>
      </x:c>
      <x:c r="C56" s="61" t="str">
        <x:v>청파동1가 91-15</x:v>
      </x:c>
      <x:c r="D56" s="61" t="str">
        <x:v>(91-15)</x:v>
      </x:c>
      <x:c r="E56" s="55" t="str">
        <x:v>다세대주택</x:v>
      </x:c>
      <x:c r="F56" s="57" t="n">
        <x:v>66000</x:v>
      </x:c>
      <x:c r="G56" s="58" t="n">
        <x:f>IFERROR(F56/10000,"")</x:f>
        <x:v>6.6</x:v>
      </x:c>
      <x:c r="H56" s="55" t="str">
        <x:v>다세대</x:v>
      </x:c>
      <x:c r="I56" s="59" t="n">
        <x:v>31.99</x:v>
      </x:c>
      <x:c r="J56" s="59" t="n">
        <x:f>IFERROR(I56/3.3058,"")</x:f>
        <x:v>9.676931453808457</x:v>
      </x:c>
      <x:c r="K56" s="57" t="n">
        <x:f>IFERROR(F56/J56,"")</x:f>
        <x:v>6820.343857455456</x:v>
      </x:c>
      <x:c r="L56" s="59" t="n">
        <x:v>46.35</x:v>
      </x:c>
      <x:c r="M56" s="57" t="n">
        <x:f>IFERROR(F56/(L56/3.3),"")</x:f>
        <x:v>4699.029126213592</x:v>
      </x:c>
      <x:c r="N56" s="55" t="str">
        <x:v>-1</x:v>
      </x:c>
      <x:c r="O56" s="57" t="n">
        <x:v>30000</x:v>
      </x:c>
      <x:c r="P56" s="60" t="n">
        <x:f>IFERROR(F56/O56-1,"")</x:f>
        <x:v>1.2000000000000002</x:v>
      </x:c>
      <x:c r="Q56" s="55" t="n">
        <x:v>1986</x:v>
      </x:c>
      <x:c r="R56" s="55" t="str">
        <x:v>지하</x:v>
      </x:c>
      <x:c r="S56" s="55" t="str">
        <x:v>중개거래</x:v>
      </x:c>
      <x:c r="T56" s="55" t="str">
        <x:v>서울 용산구</x:v>
      </x:c>
      <x:c r="U56" s="55" t="n">
        <x:v>8516596</x:v>
      </x:c>
      <x:c r="V56" s="55" t="str">
        <x:v>활성</x:v>
      </x:c>
    </x:row>
    <x:row r="57">
      <x:c r="A57" s="55" t="n">
        <x:v>53</x:v>
      </x:c>
      <x:c r="B57" s="56" t="n">
        <x:v>45958</x:v>
      </x:c>
      <x:c r="C57" s="61" t="str">
        <x:v>청파동1가 4-2</x:v>
      </x:c>
      <x:c r="D57" s="61" t="str">
        <x:v>안드레아빌라</x:v>
      </x:c>
      <x:c r="E57" s="55" t="str">
        <x:v>다세대주택</x:v>
      </x:c>
      <x:c r="F57" s="57" t="n">
        <x:v>83000</x:v>
      </x:c>
      <x:c r="G57" s="58" t="n">
        <x:f>IFERROR(F57/10000,"")</x:f>
        <x:v>8.3</x:v>
      </x:c>
      <x:c r="H57" s="55" t="str">
        <x:v>다세대</x:v>
      </x:c>
      <x:c r="I57" s="59" t="n">
        <x:v>30.37</x:v>
      </x:c>
      <x:c r="J57" s="59" t="n">
        <x:f>IFERROR(I57/3.3058,"")</x:f>
        <x:v>9.186883659023534</x:v>
      </x:c>
      <x:c r="K57" s="57" t="n">
        <x:f>IFERROR(F57/J57,"")</x:f>
        <x:v>9034.61969048403</x:v>
      </x:c>
      <x:c r="L57" s="59" t="n">
        <x:v>59.85</x:v>
      </x:c>
      <x:c r="M57" s="57" t="n">
        <x:f>IFERROR(F57/(L57/3.3),"")</x:f>
        <x:v>4576.441102756892</x:v>
      </x:c>
      <x:c r="N57" s="55" t="str">
        <x:v>1</x:v>
      </x:c>
      <x:c r="O57" s="57" t="n">
        <x:v>43300</x:v>
      </x:c>
      <x:c r="P57" s="60" t="n">
        <x:f>IFERROR(F57/O57-1,"")</x:f>
        <x:v>0.9168591224018476</x:v>
      </x:c>
      <x:c r="Q57" s="55" t="n">
        <x:v>2001</x:v>
      </x:c>
      <x:c r="R57" s="55" t="str">
        <x:v>비지하</x:v>
      </x:c>
      <x:c r="S57" s="55" t="str">
        <x:v>중개거래</x:v>
      </x:c>
      <x:c r="T57" s="55" t="str">
        <x:v>서울 양천구, 서울 용산구</x:v>
      </x:c>
      <x:c r="U57" s="55" t="n">
        <x:v>8516621</x:v>
      </x:c>
      <x:c r="V57" s="55" t="str">
        <x:v>활성</x:v>
      </x:c>
    </x:row>
    <x:row r="58">
      <x:c r="A58" s="55" t="n">
        <x:v>54</x:v>
      </x:c>
      <x:c r="B58" s="56" t="n">
        <x:v>45925</x:v>
      </x:c>
      <x:c r="C58" s="61" t="str">
        <x:v>청파동1가 4-8</x:v>
      </x:c>
      <x:c r="D58" s="61" t="str">
        <x:v>(4-8)</x:v>
      </x:c>
      <x:c r="E58" s="55" t="str">
        <x:v>다세대주택</x:v>
      </x:c>
      <x:c r="F58" s="57" t="n">
        <x:v>52000</x:v>
      </x:c>
      <x:c r="G58" s="58" t="n">
        <x:f>IFERROR(F58/10000,"")</x:f>
        <x:v>5.2</x:v>
      </x:c>
      <x:c r="H58" s="55" t="str">
        <x:v>다세대</x:v>
      </x:c>
      <x:c r="I58" s="59" t="n">
        <x:v>28.93</x:v>
      </x:c>
      <x:c r="J58" s="59" t="n">
        <x:f>IFERROR(I58/3.3058,"")</x:f>
        <x:v>8.751285619214713</x:v>
      </x:c>
      <x:c r="K58" s="57" t="n">
        <x:f>IFERROR(F58/J58,"")</x:f>
        <x:v>5941.98409955064</x:v>
      </x:c>
      <x:c r="L58" s="59" t="n">
        <x:v>42.78</x:v>
      </x:c>
      <x:c r="M58" s="57" t="n">
        <x:f>IFERROR(F58/(L58/3.3),"")</x:f>
        <x:v>4011.2201963534358</x:v>
      </x:c>
      <x:c r="N58" s="55" t="str">
        <x:v>-1</x:v>
      </x:c>
      <x:c r="O58" s="57" t="n">
        <x:v>25700</x:v>
      </x:c>
      <x:c r="P58" s="60" t="n">
        <x:f>IFERROR(F58/O58-1,"")</x:f>
        <x:v>1.0233463035019454</x:v>
      </x:c>
      <x:c r="Q58" s="55" t="n">
        <x:v>1986</x:v>
      </x:c>
      <x:c r="R58" s="55" t="str">
        <x:v>지하</x:v>
      </x:c>
      <x:c r="S58" s="55" t="str">
        <x:v>중개거래</x:v>
      </x:c>
      <x:c r="T58" s="55" t="str">
        <x:v>서울 마포구</x:v>
      </x:c>
      <x:c r="U58" s="55" t="n">
        <x:v>8516539</x:v>
      </x:c>
      <x:c r="V58" s="55" t="str">
        <x:v>활성</x:v>
      </x:c>
    </x:row>
    <x:row r="59">
      <x:c r="A59" s="55" t="n">
        <x:v>55</x:v>
      </x:c>
      <x:c r="B59" s="56" t="n">
        <x:v>45909</x:v>
      </x:c>
      <x:c r="C59" s="61" t="str">
        <x:v>청파동1가 89-15</x:v>
      </x:c>
      <x:c r="D59" s="61" t="str">
        <x:v>미산빌2</x:v>
      </x:c>
      <x:c r="E59" s="55" t="str">
        <x:v>다세대주택</x:v>
      </x:c>
      <x:c r="F59" s="57" t="n">
        <x:v>64500</x:v>
      </x:c>
      <x:c r="G59" s="58" t="n">
        <x:f>IFERROR(F59/10000,"")</x:f>
        <x:v>6.45</x:v>
      </x:c>
      <x:c r="H59" s="55" t="str">
        <x:v>다세대</x:v>
      </x:c>
      <x:c r="I59" s="59" t="n">
        <x:v>17.1</x:v>
      </x:c>
      <x:c r="J59" s="59" t="n">
        <x:f>IFERROR(I59/3.3058,"")</x:f>
        <x:v>5.172726722729748</x:v>
      </x:c>
      <x:c r="K59" s="57" t="n">
        <x:f>IFERROR(F59/J59,"")</x:f>
        <x:v>12469.245614035088</x:v>
      </x:c>
      <x:c r="L59" s="59" t="n">
        <x:v>18.37</x:v>
      </x:c>
      <x:c r="M59" s="57" t="n">
        <x:f>IFERROR(F59/(L59/3.3),"")</x:f>
        <x:v>11586.826347305388</x:v>
      </x:c>
      <x:c r="N59" s="55" t="str">
        <x:v>4</x:v>
      </x:c>
      <x:c r="O59" s="57" t="n">
        <x:v>32100</x:v>
      </x:c>
      <x:c r="P59" s="60" t="n">
        <x:f>IFERROR(F59/O59-1,"")</x:f>
        <x:v>1.0093457943925235</x:v>
      </x:c>
      <x:c r="Q59" s="55" t="n">
        <x:v>2021</x:v>
      </x:c>
      <x:c r="R59" s="55" t="str">
        <x:v>비지하</x:v>
      </x:c>
      <x:c r="S59" s="55" t="str">
        <x:v>중개거래</x:v>
      </x:c>
      <x:c r="T59" s="55" t="str">
        <x:v>서울 서대문구, 서울 용산구</x:v>
      </x:c>
      <x:c r="U59" s="55" t="n">
        <x:v>8516582</x:v>
      </x:c>
      <x:c r="V59" s="55" t="str">
        <x:v>활성</x:v>
      </x:c>
    </x:row>
    <x:row r="60">
      <x:c r="A60" s="55" t="n">
        <x:v>56</x:v>
      </x:c>
      <x:c r="B60" s="56" t="n">
        <x:v>45906</x:v>
      </x:c>
      <x:c r="C60" s="61" t="str">
        <x:v>청파동1가 1-45</x:v>
      </x:c>
      <x:c r="D60" s="61" t="str">
        <x:v>썬하우스</x:v>
      </x:c>
      <x:c r="E60" s="55" t="str">
        <x:v>다세대주택</x:v>
      </x:c>
      <x:c r="F60" s="57" t="n">
        <x:v>72000</x:v>
      </x:c>
      <x:c r="G60" s="58" t="n">
        <x:f>IFERROR(F60/10000,"")</x:f>
        <x:v>7.2</x:v>
      </x:c>
      <x:c r="H60" s="55" t="str">
        <x:v>다세대</x:v>
      </x:c>
      <x:c r="I60" s="59" t="n">
        <x:v>35.835</x:v>
      </x:c>
      <x:c r="J60" s="59" t="n">
        <x:f>IFERROR(I60/3.3058,"")</x:f>
        <x:v>10.840038719825762</x:v>
      </x:c>
      <x:c r="K60" s="57" t="n">
        <x:f>IFERROR(F60/J60,"")</x:f>
        <x:v>6642.042695688572</x:v>
      </x:c>
      <x:c r="L60" s="59" t="n">
        <x:v>64.24</x:v>
      </x:c>
      <x:c r="M60" s="57" t="n">
        <x:f>IFERROR(F60/(L60/3.3),"")</x:f>
        <x:v>3698.6301369863017</x:v>
      </x:c>
      <x:c r="N60" s="55" t="str">
        <x:v>4</x:v>
      </x:c>
      <x:c r="O60" s="57" t="n">
        <x:v>43200</x:v>
      </x:c>
      <x:c r="P60" s="60" t="n">
        <x:f>IFERROR(F60/O60-1,"")</x:f>
        <x:v>0.6666666666666667</x:v>
      </x:c>
      <x:c r="Q60" s="55" t="n">
        <x:v>2003</x:v>
      </x:c>
      <x:c r="R60" s="55" t="str">
        <x:v>비지하</x:v>
      </x:c>
      <x:c r="S60" s="55" t="str">
        <x:v>중개거래</x:v>
      </x:c>
      <x:c r="T60" s="55" t="str">
        <x:v>서울 용산구</x:v>
      </x:c>
      <x:c r="U60" s="55" t="n">
        <x:v>8516585</x:v>
      </x:c>
      <x:c r="V60" s="55" t="str">
        <x:v>활성</x:v>
      </x:c>
    </x:row>
    <x:row r="61">
      <x:c r="A61" s="55" t="n">
        <x:v>57</x:v>
      </x:c>
      <x:c r="B61" s="56" t="n">
        <x:v>45905</x:v>
      </x:c>
      <x:c r="C61" s="61" t="str">
        <x:v>청파동1가 15-1</x:v>
      </x:c>
      <x:c r="D61" s="61" t="str">
        <x:v>진성아트빌(15-1)</x:v>
      </x:c>
      <x:c r="E61" s="55" t="str">
        <x:v>다세대주택</x:v>
      </x:c>
      <x:c r="F61" s="57" t="n">
        <x:v>79500</x:v>
      </x:c>
      <x:c r="G61" s="58" t="n">
        <x:f>IFERROR(F61/10000,"")</x:f>
        <x:v>7.95</x:v>
      </x:c>
      <x:c r="H61" s="55" t="str">
        <x:v>다세대</x:v>
      </x:c>
      <x:c r="I61" s="59" t="n">
        <x:v>36.36</x:v>
      </x:c>
      <x:c r="J61" s="59" t="n">
        <x:f>IFERROR(I61/3.3058,"")</x:f>
        <x:v>10.998850505172726</x:v>
      </x:c>
      <x:c r="K61" s="57" t="n">
        <x:f>IFERROR(F61/J61,"")</x:f>
        <x:v>7228.028052805281</x:v>
      </x:c>
      <x:c r="L61" s="59" t="n">
        <x:v>50.02</x:v>
      </x:c>
      <x:c r="M61" s="57" t="n">
        <x:f>IFERROR(F61/(L61/3.3),"")</x:f>
        <x:v>5244.902039184325</x:v>
      </x:c>
      <x:c r="N61" s="55" t="str">
        <x:v>4</x:v>
      </x:c>
      <x:c r="O61" s="57" t="n">
        <x:v>45100</x:v>
      </x:c>
      <x:c r="P61" s="60" t="n">
        <x:f>IFERROR(F61/O61-1,"")</x:f>
        <x:v>0.7627494456762749</x:v>
      </x:c>
      <x:c r="Q61" s="55" t="n">
        <x:v>2007</x:v>
      </x:c>
      <x:c r="R61" s="55" t="str">
        <x:v>비지하</x:v>
      </x:c>
      <x:c r="S61" s="55" t="str">
        <x:v>중개거래</x:v>
      </x:c>
      <x:c r="T61" s="55" t="str">
        <x:v>경기 성남시 분당구, 서울 용산구</x:v>
      </x:c>
      <x:c r="U61" s="55" t="n">
        <x:v>8516581</x:v>
      </x:c>
      <x:c r="V61" s="55" t="str">
        <x:v>활성</x:v>
      </x:c>
    </x:row>
    <x:row r="62">
      <x:c r="A62" s="55" t="n">
        <x:v>58</x:v>
      </x:c>
      <x:c r="B62" s="56" t="n">
        <x:v>45902</x:v>
      </x:c>
      <x:c r="C62" s="61" t="str">
        <x:v>청파동1가 89-8</x:v>
      </x:c>
      <x:c r="D62" s="61" t="str">
        <x:v>아튼빌라</x:v>
      </x:c>
      <x:c r="E62" s="55" t="str">
        <x:v>다세대주택</x:v>
      </x:c>
      <x:c r="F62" s="57" t="n">
        <x:v>71000</x:v>
      </x:c>
      <x:c r="G62" s="58" t="n">
        <x:f>IFERROR(F62/10000,"")</x:f>
        <x:v>7.1</x:v>
      </x:c>
      <x:c r="H62" s="55" t="str">
        <x:v>다세대</x:v>
      </x:c>
      <x:c r="I62" s="59" t="n">
        <x:v>28.83</x:v>
      </x:c>
      <x:c r="J62" s="59" t="n">
        <x:f>IFERROR(I62/3.3058,"")</x:f>
        <x:v>8.7210357553391</x:v>
      </x:c>
      <x:c r="K62" s="57" t="n">
        <x:f>IFERROR(F62/J62,"")</x:f>
        <x:v>8141.234824835242</x:v>
      </x:c>
      <x:c r="L62" s="59" t="n">
        <x:v>36.48</x:v>
      </x:c>
      <x:c r="M62" s="57" t="n">
        <x:f>IFERROR(F62/(L62/3.3),"")</x:f>
        <x:v>6422.6973684210525</x:v>
      </x:c>
      <x:c r="N62" s="55" t="str">
        <x:v>2</x:v>
      </x:c>
      <x:c r="O62" s="57" t="n">
        <x:v>36900</x:v>
      </x:c>
      <x:c r="P62" s="60" t="n">
        <x:f>IFERROR(F62/O62-1,"")</x:f>
        <x:v>0.924119241192412</x:v>
      </x:c>
      <x:c r="Q62" s="55" t="n">
        <x:v>1988</x:v>
      </x:c>
      <x:c r="R62" s="55" t="str">
        <x:v>비지하</x:v>
      </x:c>
      <x:c r="S62" s="55" t="str">
        <x:v>중개거래</x:v>
      </x:c>
      <x:c r="T62" s="55" t="str">
        <x:v>서울 마포구, 서울 용산구</x:v>
      </x:c>
      <x:c r="U62" s="55" t="n">
        <x:v>8516586</x:v>
      </x:c>
      <x:c r="V62" s="55" t="str">
        <x:v>활성</x:v>
      </x:c>
    </x:row>
    <x:row r="63">
      <x:c r="A63" s="55" t="n">
        <x:v>59</x:v>
      </x:c>
      <x:c r="B63" s="56" t="n">
        <x:v>45902</x:v>
      </x:c>
      <x:c r="C63" s="61" t="str">
        <x:v>청파동1가 89-57</x:v>
      </x:c>
      <x:c r="D63" s="61" t="str">
        <x:v>청우빌라</x:v>
      </x:c>
      <x:c r="E63" s="55" t="str">
        <x:v>다세대주택</x:v>
      </x:c>
      <x:c r="F63" s="57" t="n">
        <x:v>70000</x:v>
      </x:c>
      <x:c r="G63" s="58" t="n">
        <x:f>IFERROR(F63/10000,"")</x:f>
        <x:v>7</x:v>
      </x:c>
      <x:c r="H63" s="55" t="str">
        <x:v>다세대</x:v>
      </x:c>
      <x:c r="I63" s="59" t="n">
        <x:v>36.92</x:v>
      </x:c>
      <x:c r="J63" s="59" t="n">
        <x:f>IFERROR(I63/3.3058,"")</x:f>
        <x:v>11.168249742876156</x:v>
      </x:c>
      <x:c r="K63" s="57" t="n">
        <x:f>IFERROR(F63/J63,"")</x:f>
        <x:v>6267.768147345612</x:v>
      </x:c>
      <x:c r="L63" s="59" t="n">
        <x:v>48.66</x:v>
      </x:c>
      <x:c r="M63" s="57" t="n">
        <x:f>IFERROR(F63/(L63/3.3),"")</x:f>
        <x:v>4747.2256473489515</x:v>
      </x:c>
      <x:c r="N63" s="55" t="str">
        <x:v>2</x:v>
      </x:c>
      <x:c r="O63" s="57" t="n">
        <x:v>38100</x:v>
      </x:c>
      <x:c r="P63" s="60" t="n">
        <x:f>IFERROR(F63/O63-1,"")</x:f>
        <x:v>0.837270341207349</x:v>
      </x:c>
      <x:c r="Q63" s="55" t="n">
        <x:v>1991</x:v>
      </x:c>
      <x:c r="R63" s="55" t="str">
        <x:v>비지하</x:v>
      </x:c>
      <x:c r="S63" s="55" t="str">
        <x:v>중개거래</x:v>
      </x:c>
      <x:c r="T63" s="55" t="str">
        <x:v>서울 용산구</x:v>
      </x:c>
      <x:c r="U63" s="55" t="n">
        <x:v>8516540</x:v>
      </x:c>
      <x:c r="V63" s="55" t="str">
        <x:v>활성</x:v>
      </x:c>
    </x:row>
    <x:row r="64">
      <x:c r="A64" s="55" t="n">
        <x:v>60</x:v>
      </x:c>
      <x:c r="B64" s="56" t="n">
        <x:v>45887</x:v>
      </x:c>
      <x:c r="C64" s="61" t="str">
        <x:v>청파동1가 4-2</x:v>
      </x:c>
      <x:c r="D64" s="61" t="str">
        <x:v>안드레아빌라</x:v>
      </x:c>
      <x:c r="E64" s="55" t="str">
        <x:v>다세대주택</x:v>
      </x:c>
      <x:c r="F64" s="57" t="n">
        <x:v>78000</x:v>
      </x:c>
      <x:c r="G64" s="58" t="n">
        <x:f>IFERROR(F64/10000,"")</x:f>
        <x:v>7.8</x:v>
      </x:c>
      <x:c r="H64" s="55" t="str">
        <x:v>다세대</x:v>
      </x:c>
      <x:c r="I64" s="59" t="n">
        <x:v>30.37</x:v>
      </x:c>
      <x:c r="J64" s="59" t="n">
        <x:f>IFERROR(I64/3.3058,"")</x:f>
        <x:v>9.186883659023534</x:v>
      </x:c>
      <x:c r="K64" s="57" t="n">
        <x:f>IFERROR(F64/J64,"")</x:f>
        <x:v>8490.3654922621</x:v>
      </x:c>
      <x:c r="L64" s="59" t="n">
        <x:v>59.85</x:v>
      </x:c>
      <x:c r="M64" s="57" t="n">
        <x:f>IFERROR(F64/(L64/3.3),"")</x:f>
        <x:v>4300.751879699248</x:v>
      </x:c>
      <x:c r="N64" s="55" t="str">
        <x:v>4</x:v>
      </x:c>
      <x:c r="O64" s="57" t="n">
        <x:v>43300</x:v>
      </x:c>
      <x:c r="P64" s="60" t="n">
        <x:f>IFERROR(F64/O64-1,"")</x:f>
        <x:v>0.8013856812933025</x:v>
      </x:c>
      <x:c r="Q64" s="55" t="n">
        <x:v>2001</x:v>
      </x:c>
      <x:c r="R64" s="55" t="str">
        <x:v>비지하</x:v>
      </x:c>
      <x:c r="S64" s="55" t="str">
        <x:v>중개거래</x:v>
      </x:c>
      <x:c r="T64" s="55" t="str">
        <x:v>서울 마포구, 서울 용산구</x:v>
      </x:c>
      <x:c r="U64" s="55" t="n">
        <x:v>8516459</x:v>
      </x:c>
      <x:c r="V64" s="55" t="str">
        <x:v>활성</x:v>
      </x:c>
    </x:row>
    <x:row r="65">
      <x:c r="A65" s="55" t="n">
        <x:v>61</x:v>
      </x:c>
      <x:c r="B65" s="56" t="n">
        <x:v>45864</x:v>
      </x:c>
      <x:c r="C65" s="61" t="str">
        <x:v>청파동1가 89-31</x:v>
      </x:c>
      <x:c r="D65" s="61" t="str">
        <x:v>프라임빌(89-31)</x:v>
      </x:c>
      <x:c r="E65" s="55" t="str">
        <x:v>다세대주택</x:v>
      </x:c>
      <x:c r="F65" s="57" t="n">
        <x:v>81000</x:v>
      </x:c>
      <x:c r="G65" s="58" t="n">
        <x:f>IFERROR(F65/10000,"")</x:f>
        <x:v>8.1</x:v>
      </x:c>
      <x:c r="H65" s="55" t="str">
        <x:v>다세대</x:v>
      </x:c>
      <x:c r="I65" s="59" t="n">
        <x:v>33.06</x:v>
      </x:c>
      <x:c r="J65" s="59" t="n">
        <x:f>IFERROR(I65/3.3058,"")</x:f>
        <x:v>10.000604997277513</x:v>
      </x:c>
      <x:c r="K65" s="57" t="n">
        <x:f>IFERROR(F65/J65,"")</x:f>
        <x:v>8099.509981851179</x:v>
      </x:c>
      <x:c r="L65" s="59" t="n">
        <x:v>50.24</x:v>
      </x:c>
      <x:c r="M65" s="57" t="n">
        <x:f>IFERROR(F65/(L65/3.3),"")</x:f>
        <x:v>5320.461783439489</x:v>
      </x:c>
      <x:c r="N65" s="55" t="str">
        <x:v>2</x:v>
      </x:c>
      <x:c r="O65" s="57" t="n">
        <x:v>49800</x:v>
      </x:c>
      <x:c r="P65" s="60" t="n">
        <x:f>IFERROR(F65/O65-1,"")</x:f>
        <x:v>0.6265060240963856</x:v>
      </x:c>
      <x:c r="Q65" s="55" t="n">
        <x:v>2008</x:v>
      </x:c>
      <x:c r="R65" s="55" t="str">
        <x:v>비지하</x:v>
      </x:c>
      <x:c r="S65" s="55" t="str">
        <x:v>중개거래</x:v>
      </x:c>
      <x:c r="T65" s="55" t="str">
        <x:v>서울 용산구</x:v>
      </x:c>
      <x:c r="U65" s="55" t="n">
        <x:v>8516337</x:v>
      </x:c>
      <x:c r="V65" s="55" t="str">
        <x:v>활성</x:v>
      </x:c>
    </x:row>
    <x:row r="66">
      <x:c r="A66" s="55" t="n">
        <x:v>62</x:v>
      </x:c>
      <x:c r="B66" s="56" t="n">
        <x:v>45847</x:v>
      </x:c>
      <x:c r="C66" s="61" t="str">
        <x:v>청파동1가 79</x:v>
      </x:c>
      <x:c r="D66" s="61" t="str"/>
      <x:c r="E66" s="55" t="str">
        <x:v>단독주택</x:v>
      </x:c>
      <x:c r="F66" s="57" t="n">
        <x:v>77800</x:v>
      </x:c>
      <x:c r="G66" s="58" t="n">
        <x:f>IFERROR(F66/10000,"")</x:f>
        <x:v>7.78</x:v>
      </x:c>
      <x:c r="H66" s="55" t="str">
        <x:v>단독</x:v>
      </x:c>
      <x:c r="I66" s="59" t="n">
        <x:v>62.8</x:v>
      </x:c>
      <x:c r="J66" s="59" t="n">
        <x:f>IFERROR(I66/3.3058,"")</x:f>
        <x:v>18.996914513884686</x:v>
      </x:c>
      <x:c r="K66" s="57" t="n">
        <x:f>IFERROR(F66/J66,"")</x:f>
        <x:v>4095.401910828026</x:v>
      </x:c>
      <x:c r="L66" s="59" t="n">
        <x:v>19.7</x:v>
      </x:c>
      <x:c r="M66" s="57" t="n">
        <x:f>IFERROR(F66/(L66/3.3),"")</x:f>
        <x:v>13032.48730964467</x:v>
      </x:c>
      <x:c r="N66" s="55" t="str"/>
      <x:c r="O66" s="57" t="n">
        <x:v>28700</x:v>
      </x:c>
      <x:c r="P66" s="60" t="n">
        <x:f>IFERROR(F66/O66-1,"")</x:f>
        <x:v>1.710801393728223</x:v>
      </x:c>
      <x:c r="Q66" s="55" t="n">
        <x:v>1965</x:v>
      </x:c>
      <x:c r="R66" s="55" t="str"/>
      <x:c r="S66" s="55" t="str">
        <x:v>중개거래</x:v>
      </x:c>
      <x:c r="T66" s="55" t="str">
        <x:v>서울 마포구</x:v>
      </x:c>
      <x:c r="U66" s="55" t="n">
        <x:v>3454716</x:v>
      </x:c>
      <x:c r="V66" s="55" t="str">
        <x:v>활성</x:v>
      </x:c>
    </x:row>
    <x:row r="67">
      <x:c r="A67" s="55" t="n">
        <x:v>63</x:v>
      </x:c>
      <x:c r="B67" s="56" t="n">
        <x:v>45836</x:v>
      </x:c>
      <x:c r="C67" s="61" t="str">
        <x:v>청파동1가 89-31</x:v>
      </x:c>
      <x:c r="D67" s="61" t="str">
        <x:v>프라임빌(89-31)</x:v>
      </x:c>
      <x:c r="E67" s="55" t="str">
        <x:v>다세대주택</x:v>
      </x:c>
      <x:c r="F67" s="57" t="n">
        <x:v>80000</x:v>
      </x:c>
      <x:c r="G67" s="58" t="n">
        <x:f>IFERROR(F67/10000,"")</x:f>
        <x:v>8</x:v>
      </x:c>
      <x:c r="H67" s="55" t="str">
        <x:v>다세대</x:v>
      </x:c>
      <x:c r="I67" s="59" t="n">
        <x:v>33.06</x:v>
      </x:c>
      <x:c r="J67" s="59" t="n">
        <x:f>IFERROR(I67/3.3058,"")</x:f>
        <x:v>10.000604997277513</x:v>
      </x:c>
      <x:c r="K67" s="57" t="n">
        <x:f>IFERROR(F67/J67,"")</x:f>
        <x:v>7999.516031457954</x:v>
      </x:c>
      <x:c r="L67" s="59" t="n">
        <x:v>50.67</x:v>
      </x:c>
      <x:c r="M67" s="57" t="n">
        <x:f>IFERROR(F67/(L67/3.3),"")</x:f>
        <x:v>5210.183540556542</x:v>
      </x:c>
      <x:c r="N67" s="55" t="str">
        <x:v>2</x:v>
      </x:c>
      <x:c r="O67" s="57" t="n">
        <x:v>49800</x:v>
      </x:c>
      <x:c r="P67" s="60" t="n">
        <x:f>IFERROR(F67/O67-1,"")</x:f>
        <x:v>0.606425702811245</x:v>
      </x:c>
      <x:c r="Q67" s="55" t="n">
        <x:v>2008</x:v>
      </x:c>
      <x:c r="R67" s="55" t="str">
        <x:v>비지하</x:v>
      </x:c>
      <x:c r="S67" s="55" t="str">
        <x:v>중개거래</x:v>
      </x:c>
      <x:c r="T67" s="55" t="str">
        <x:v>서울 용산구</x:v>
      </x:c>
      <x:c r="U67" s="55" t="n">
        <x:v>8516213</x:v>
      </x:c>
      <x:c r="V67" s="55" t="str">
        <x:v>활성</x:v>
      </x:c>
    </x:row>
    <x:row r="68">
      <x:c r="A68" s="55" t="n">
        <x:v>64</x:v>
      </x:c>
      <x:c r="B68" s="56" t="n">
        <x:v>45835</x:v>
      </x:c>
      <x:c r="C68" s="61" t="str">
        <x:v>청파동1가 3-30</x:v>
      </x:c>
      <x:c r="D68" s="61" t="str">
        <x:v>(3-30)</x:v>
      </x:c>
      <x:c r="E68" s="55" t="str">
        <x:v>다세대주택</x:v>
      </x:c>
      <x:c r="F68" s="57" t="n">
        <x:v>57000</x:v>
      </x:c>
      <x:c r="G68" s="58" t="n">
        <x:f>IFERROR(F68/10000,"")</x:f>
        <x:v>5.7</x:v>
      </x:c>
      <x:c r="H68" s="55" t="str">
        <x:v>다세대</x:v>
      </x:c>
      <x:c r="I68" s="59" t="n">
        <x:v>33.1</x:v>
      </x:c>
      <x:c r="J68" s="59" t="n">
        <x:f>IFERROR(I68/3.3058,"")</x:f>
        <x:v>10.012704942827758</x:v>
      </x:c>
      <x:c r="K68" s="57" t="n">
        <x:f>IFERROR(F68/J68,"")</x:f>
        <x:v>5692.767371601208</x:v>
      </x:c>
      <x:c r="L68" s="59" t="n">
        <x:v>40.32</x:v>
      </x:c>
      <x:c r="M68" s="57" t="n">
        <x:f>IFERROR(F68/(L68/3.3),"")</x:f>
        <x:v>4665.178571428572</x:v>
      </x:c>
      <x:c r="N68" s="55" t="str">
        <x:v>-1</x:v>
      </x:c>
      <x:c r="O68" s="57" t="n">
        <x:v>29400</x:v>
      </x:c>
      <x:c r="P68" s="60" t="n">
        <x:f>IFERROR(F68/O68-1,"")</x:f>
        <x:v>0.9387755102040816</x:v>
      </x:c>
      <x:c r="Q68" s="55" t="n">
        <x:v>1986</x:v>
      </x:c>
      <x:c r="R68" s="55" t="str">
        <x:v>지하</x:v>
      </x:c>
      <x:c r="S68" s="55" t="str">
        <x:v>중개거래</x:v>
      </x:c>
      <x:c r="T68" s="55" t="str">
        <x:v>서울 용산구</x:v>
      </x:c>
      <x:c r="U68" s="55" t="n">
        <x:v>8516182</x:v>
      </x:c>
      <x:c r="V68" s="55" t="str">
        <x:v>활성</x:v>
      </x:c>
    </x:row>
    <x:row r="69">
      <x:c r="A69" s="55" t="n">
        <x:v>65</x:v>
      </x:c>
      <x:c r="B69" s="56" t="n">
        <x:v>45831</x:v>
      </x:c>
      <x:c r="C69" s="61" t="str">
        <x:v>청파동1가 58-14</x:v>
      </x:c>
      <x:c r="D69" s="61" t="str">
        <x:v>행복신양</x:v>
      </x:c>
      <x:c r="E69" s="55" t="str">
        <x:v>다세대주택</x:v>
      </x:c>
      <x:c r="F69" s="57" t="n">
        <x:v>70000</x:v>
      </x:c>
      <x:c r="G69" s="58" t="n">
        <x:f>IFERROR(F69/10000,"")</x:f>
        <x:v>7</x:v>
      </x:c>
      <x:c r="H69" s="55" t="str">
        <x:v>다세대</x:v>
      </x:c>
      <x:c r="I69" s="59" t="n">
        <x:v>19.34</x:v>
      </x:c>
      <x:c r="J69" s="59" t="n">
        <x:f>IFERROR(I69/3.3058,"")</x:f>
        <x:v>5.8503236735434685</x:v>
      </x:c>
      <x:c r="K69" s="57" t="n">
        <x:f>IFERROR(F69/J69,"")</x:f>
        <x:v>11965.149948293692</x:v>
      </x:c>
      <x:c r="L69" s="59" t="n">
        <x:v>26.8</x:v>
      </x:c>
      <x:c r="M69" s="57" t="n">
        <x:f>IFERROR(F69/(L69/3.3),"")</x:f>
        <x:v>8619.402985074626</x:v>
      </x:c>
      <x:c r="N69" s="55" t="str">
        <x:v>3</x:v>
      </x:c>
      <x:c r="O69" s="57" t="n">
        <x:v>40800</x:v>
      </x:c>
      <x:c r="P69" s="60" t="n">
        <x:f>IFERROR(F69/O69-1,"")</x:f>
        <x:v>0.7156862745098038</x:v>
      </x:c>
      <x:c r="Q69" s="55" t="n">
        <x:v>2021</x:v>
      </x:c>
      <x:c r="R69" s="55" t="str">
        <x:v>비지하</x:v>
      </x:c>
      <x:c r="S69" s="55" t="str">
        <x:v>중개거래</x:v>
      </x:c>
      <x:c r="T69" s="55" t="str">
        <x:v>서울 용산구</x:v>
      </x:c>
      <x:c r="U69" s="55" t="n">
        <x:v>8516245</x:v>
      </x:c>
      <x:c r="V69" s="55" t="str">
        <x:v>활성</x:v>
      </x:c>
    </x:row>
    <x:row r="70">
      <x:c r="A70" s="55" t="n">
        <x:v>66</x:v>
      </x:c>
      <x:c r="B70" s="56" t="n">
        <x:v>45826</x:v>
      </x:c>
      <x:c r="C70" s="61" t="str">
        <x:v>청파동1가 89-182</x:v>
      </x:c>
      <x:c r="D70" s="61" t="str">
        <x:v>(89-182)</x:v>
      </x:c>
      <x:c r="E70" s="55" t="str">
        <x:v>다세대주택</x:v>
      </x:c>
      <x:c r="F70" s="57" t="n">
        <x:v>53000</x:v>
      </x:c>
      <x:c r="G70" s="58" t="n">
        <x:f>IFERROR(F70/10000,"")</x:f>
        <x:v>5.3</x:v>
      </x:c>
      <x:c r="H70" s="55" t="str">
        <x:v>다세대</x:v>
      </x:c>
      <x:c r="I70" s="59" t="n">
        <x:v>24.7</x:v>
      </x:c>
      <x:c r="J70" s="59" t="n">
        <x:f>IFERROR(I70/3.3058,"")</x:f>
        <x:v>7.471716377276302</x:v>
      </x:c>
      <x:c r="K70" s="57" t="n">
        <x:f>IFERROR(F70/J70,"")</x:f>
        <x:v>7093.417004048583</x:v>
      </x:c>
      <x:c r="L70" s="59" t="n">
        <x:v>35</x:v>
      </x:c>
      <x:c r="M70" s="57" t="n">
        <x:f>IFERROR(F70/(L70/3.3),"")</x:f>
        <x:v>4997.142857142857</x:v>
      </x:c>
      <x:c r="N70" s="55" t="str">
        <x:v>-1</x:v>
      </x:c>
      <x:c r="O70" s="57" t="n">
        <x:v>24400</x:v>
      </x:c>
      <x:c r="P70" s="60" t="n">
        <x:f>IFERROR(F70/O70-1,"")</x:f>
        <x:v>1.1721311475409837</x:v>
      </x:c>
      <x:c r="Q70" s="55" t="n">
        <x:v>1986</x:v>
      </x:c>
      <x:c r="R70" s="55" t="str">
        <x:v>지하</x:v>
      </x:c>
      <x:c r="S70" s="55" t="str">
        <x:v>중개거래</x:v>
      </x:c>
      <x:c r="T70" s="55" t="str">
        <x:v>서울 용산구</x:v>
      </x:c>
      <x:c r="U70" s="55" t="n">
        <x:v>8516253</x:v>
      </x:c>
      <x:c r="V70" s="55" t="str">
        <x:v>활성</x:v>
      </x:c>
    </x:row>
    <x:row r="71">
      <x:c r="A71" s="55" t="n">
        <x:v>67</x:v>
      </x:c>
      <x:c r="B71" s="56" t="n">
        <x:v>45813</x:v>
      </x:c>
      <x:c r="C71" s="61" t="str">
        <x:v>청파동1가 132-14</x:v>
      </x:c>
      <x:c r="D71" s="61" t="str">
        <x:v>미샹보르2차</x:v>
      </x:c>
      <x:c r="E71" s="55" t="str">
        <x:v>다세대주택</x:v>
      </x:c>
      <x:c r="F71" s="57" t="n">
        <x:v>68000</x:v>
      </x:c>
      <x:c r="G71" s="58" t="n">
        <x:f>IFERROR(F71/10000,"")</x:f>
        <x:v>6.8</x:v>
      </x:c>
      <x:c r="H71" s="55" t="str">
        <x:v>다세대</x:v>
      </x:c>
      <x:c r="I71" s="59" t="n">
        <x:v>21.65</x:v>
      </x:c>
      <x:c r="J71" s="59" t="n">
        <x:f>IFERROR(I71/3.3058,"")</x:f>
        <x:v>6.549095529070119</x:v>
      </x:c>
      <x:c r="K71" s="57" t="n">
        <x:f>IFERROR(F71/J71,"")</x:f>
        <x:v>10383.113163972288</x:v>
      </x:c>
      <x:c r="L71" s="59" t="n">
        <x:v>29.36</x:v>
      </x:c>
      <x:c r="M71" s="57" t="n">
        <x:f>IFERROR(F71/(L71/3.3),"")</x:f>
        <x:v>7643.051771117167</x:v>
      </x:c>
      <x:c r="N71" s="55" t="str">
        <x:v>5</x:v>
      </x:c>
      <x:c r="O71" s="57" t="n">
        <x:v>43300</x:v>
      </x:c>
      <x:c r="P71" s="60" t="n">
        <x:f>IFERROR(F71/O71-1,"")</x:f>
        <x:v>0.5704387990762125</x:v>
      </x:c>
      <x:c r="Q71" s="55" t="n">
        <x:v>2019</x:v>
      </x:c>
      <x:c r="R71" s="55" t="str">
        <x:v>비지하</x:v>
      </x:c>
      <x:c r="S71" s="55" t="str">
        <x:v>중개거래</x:v>
      </x:c>
      <x:c r="T71" s="55" t="str">
        <x:v>서울 용산구</x:v>
      </x:c>
      <x:c r="U71" s="55" t="n">
        <x:v>8516295</x:v>
      </x:c>
      <x:c r="V71" s="55" t="str">
        <x:v>활성</x:v>
      </x:c>
    </x:row>
    <x:row r="72">
      <x:c r="A72" s="55" t="n">
        <x:v>68</x:v>
      </x:c>
      <x:c r="B72" s="56" t="n">
        <x:v>45792</x:v>
      </x:c>
      <x:c r="C72" s="61" t="str">
        <x:v>청파동1가 1-46</x:v>
      </x:c>
      <x:c r="D72" s="61" t="str">
        <x:v>에버그린</x:v>
      </x:c>
      <x:c r="E72" s="55" t="str">
        <x:v>다세대주택</x:v>
      </x:c>
      <x:c r="F72" s="57" t="n">
        <x:v>80000</x:v>
      </x:c>
      <x:c r="G72" s="58" t="n">
        <x:f>IFERROR(F72/10000,"")</x:f>
        <x:v>8</x:v>
      </x:c>
      <x:c r="H72" s="55" t="str">
        <x:v>다세대</x:v>
      </x:c>
      <x:c r="I72" s="59" t="n">
        <x:v>36.4</x:v>
      </x:c>
      <x:c r="J72" s="59" t="n">
        <x:f>IFERROR(I72/3.3058,"")</x:f>
        <x:v>11.010950450722971</x:v>
      </x:c>
      <x:c r="K72" s="57" t="n">
        <x:f>IFERROR(F72/J72,"")</x:f>
        <x:v>7265.494505494506</x:v>
      </x:c>
      <x:c r="L72" s="59" t="n">
        <x:v>74.37</x:v>
      </x:c>
      <x:c r="M72" s="57" t="n">
        <x:f>IFERROR(F72/(L72/3.3),"")</x:f>
        <x:v>3549.818475191609</x:v>
      </x:c>
      <x:c r="N72" s="55" t="str">
        <x:v>1</x:v>
      </x:c>
      <x:c r="O72" s="57" t="n">
        <x:v>54200</x:v>
      </x:c>
      <x:c r="P72" s="60" t="n">
        <x:f>IFERROR(F72/O72-1,"")</x:f>
        <x:v>0.47601476014760147</x:v>
      </x:c>
      <x:c r="Q72" s="55" t="n">
        <x:v>2008</x:v>
      </x:c>
      <x:c r="R72" s="55" t="str">
        <x:v>비지하</x:v>
      </x:c>
      <x:c r="S72" s="55" t="str">
        <x:v>중개거래</x:v>
      </x:c>
      <x:c r="T72" s="55" t="str">
        <x:v>서울 서대문구</x:v>
      </x:c>
      <x:c r="U72" s="55" t="n">
        <x:v>8516099</x:v>
      </x:c>
      <x:c r="V72" s="55" t="str">
        <x:v>활성</x:v>
      </x:c>
    </x:row>
    <x:row r="73">
      <x:c r="A73" s="55" t="n">
        <x:v>69</x:v>
      </x:c>
      <x:c r="B73" s="56" t="n">
        <x:v>45784</x:v>
      </x:c>
      <x:c r="C73" s="61" t="str">
        <x:v>청파동1가 89-27</x:v>
      </x:c>
      <x:c r="D73" s="61" t="str">
        <x:v>다인빌라(89-27)</x:v>
      </x:c>
      <x:c r="E73" s="55" t="str">
        <x:v>다세대주택</x:v>
      </x:c>
      <x:c r="F73" s="57" t="n">
        <x:v>57000</x:v>
      </x:c>
      <x:c r="G73" s="58" t="n">
        <x:f>IFERROR(F73/10000,"")</x:f>
        <x:v>5.7</x:v>
      </x:c>
      <x:c r="H73" s="55" t="str">
        <x:v>다세대</x:v>
      </x:c>
      <x:c r="I73" s="59" t="n">
        <x:v>23.14</x:v>
      </x:c>
      <x:c r="J73" s="59" t="n">
        <x:f>IFERROR(I73/3.3058,"")</x:f>
        <x:v>6.999818500816747</x:v>
      </x:c>
      <x:c r="K73" s="57" t="n">
        <x:f>IFERROR(F73/J73,"")</x:f>
        <x:v>8143.068280034572</x:v>
      </x:c>
      <x:c r="L73" s="59" t="n">
        <x:v>31.31</x:v>
      </x:c>
      <x:c r="M73" s="57" t="n">
        <x:f>IFERROR(F73/(L73/3.3),"")</x:f>
        <x:v>6007.665282657298</x:v>
      </x:c>
      <x:c r="N73" s="55" t="str">
        <x:v>1</x:v>
      </x:c>
      <x:c r="O73" s="57" t="n">
        <x:v>32900</x:v>
      </x:c>
      <x:c r="P73" s="60" t="n">
        <x:f>IFERROR(F73/O73-1,"")</x:f>
        <x:v>0.7325227963525835</x:v>
      </x:c>
      <x:c r="Q73" s="55" t="n">
        <x:v>2007</x:v>
      </x:c>
      <x:c r="R73" s="55" t="str">
        <x:v>비지하</x:v>
      </x:c>
      <x:c r="S73" s="55" t="str">
        <x:v>중개거래</x:v>
      </x:c>
      <x:c r="T73" s="55" t="str">
        <x:v>서울 강동구, 서울 용산구</x:v>
      </x:c>
      <x:c r="U73" s="55" t="n">
        <x:v>8516117</x:v>
      </x:c>
      <x:c r="V73" s="55" t="str">
        <x:v>활성</x:v>
      </x:c>
    </x:row>
    <x:row r="74">
      <x:c r="A74" s="55" t="n">
        <x:v>70</x:v>
      </x:c>
      <x:c r="B74" s="56" t="n">
        <x:v>45778</x:v>
      </x:c>
      <x:c r="C74" s="61" t="str">
        <x:v>청파동1가 58-30</x:v>
      </x:c>
      <x:c r="D74" s="61" t="str">
        <x:v>(58-30)</x:v>
      </x:c>
      <x:c r="E74" s="55" t="str">
        <x:v>다세대주택</x:v>
      </x:c>
      <x:c r="F74" s="57" t="n">
        <x:v>53000</x:v>
      </x:c>
      <x:c r="G74" s="58" t="n">
        <x:f>IFERROR(F74/10000,"")</x:f>
        <x:v>5.3</x:v>
      </x:c>
      <x:c r="H74" s="55" t="str">
        <x:v>연립</x:v>
      </x:c>
      <x:c r="I74" s="59" t="n">
        <x:v>34.84</x:v>
      </x:c>
      <x:c r="J74" s="59" t="n">
        <x:f>IFERROR(I74/3.3058,"")</x:f>
        <x:v>10.539052574263417</x:v>
      </x:c>
      <x:c r="K74" s="57" t="n">
        <x:f>IFERROR(F74/J74,"")</x:f>
        <x:v>5028.915040183696</x:v>
      </x:c>
      <x:c r="L74" s="59" t="n">
        <x:v>59.33</x:v>
      </x:c>
      <x:c r="M74" s="57" t="n">
        <x:f>IFERROR(F74/(L74/3.3),"")</x:f>
        <x:v>2947.91842238328</x:v>
      </x:c>
      <x:c r="N74" s="55" t="str">
        <x:v>3</x:v>
      </x:c>
      <x:c r="O74" s="57" t="n">
        <x:v>44900</x:v>
      </x:c>
      <x:c r="P74" s="60" t="n">
        <x:f>IFERROR(F74/O74-1,"")</x:f>
        <x:v>0.18040089086859679</x:v>
      </x:c>
      <x:c r="Q74" s="55" t="n">
        <x:v>1994</x:v>
      </x:c>
      <x:c r="R74" s="55" t="str">
        <x:v>비지하</x:v>
      </x:c>
      <x:c r="S74" s="55" t="str">
        <x:v>중개거래</x:v>
      </x:c>
      <x:c r="T74" s="55" t="str">
        <x:v>서울 영등포구</x:v>
      </x:c>
      <x:c r="U74" s="55" t="n">
        <x:v>8516121</x:v>
      </x:c>
      <x:c r="V74" s="55" t="str">
        <x:v>활성</x:v>
      </x:c>
    </x:row>
    <x:row r="75">
      <x:c r="A75" s="55" t="n">
        <x:v>71</x:v>
      </x:c>
      <x:c r="B75" s="56" t="n">
        <x:v>45773</x:v>
      </x:c>
      <x:c r="C75" s="61" t="str">
        <x:v>청파동1가 89-22</x:v>
      </x:c>
      <x:c r="D75" s="61" t="str">
        <x:v>대명피렌체</x:v>
      </x:c>
      <x:c r="E75" s="55" t="str">
        <x:v>다세대주택</x:v>
      </x:c>
      <x:c r="F75" s="57" t="n">
        <x:v>40000</x:v>
      </x:c>
      <x:c r="G75" s="58" t="n">
        <x:f>IFERROR(F75/10000,"")</x:f>
        <x:v>4</x:v>
      </x:c>
      <x:c r="H75" s="55" t="str">
        <x:v>다세대</x:v>
      </x:c>
      <x:c r="I75" s="59" t="n">
        <x:v>11.57</x:v>
      </x:c>
      <x:c r="J75" s="59" t="n">
        <x:f>IFERROR(I75/3.3058,"")</x:f>
        <x:v>3.4999092504083733</x:v>
      </x:c>
      <x:c r="K75" s="57" t="n">
        <x:f>IFERROR(F75/J75,"")</x:f>
        <x:v>11428.867761452031</x:v>
      </x:c>
      <x:c r="L75" s="59" t="n">
        <x:v>14.7</x:v>
      </x:c>
      <x:c r="M75" s="57" t="n">
        <x:f>IFERROR(F75/(L75/3.3),"")</x:f>
        <x:v>8979.591836734695</x:v>
      </x:c>
      <x:c r="N75" s="55" t="str">
        <x:v>2</x:v>
      </x:c>
      <x:c r="O75" s="57" t="n">
        <x:v>20800</x:v>
      </x:c>
      <x:c r="P75" s="60" t="n">
        <x:f>IFERROR(F75/O75-1,"")</x:f>
        <x:v>0.9230769230769231</x:v>
      </x:c>
      <x:c r="Q75" s="55" t="n">
        <x:v>2010</x:v>
      </x:c>
      <x:c r="R75" s="55" t="str">
        <x:v>비지하</x:v>
      </x:c>
      <x:c r="S75" s="55" t="str">
        <x:v>중개거래</x:v>
      </x:c>
      <x:c r="T75" s="55" t="str">
        <x:v>서울 용산구</x:v>
      </x:c>
      <x:c r="U75" s="55" t="n">
        <x:v>8515941</x:v>
      </x:c>
      <x:c r="V75" s="55" t="str">
        <x:v>활성</x:v>
      </x:c>
    </x:row>
    <x:row r="76">
      <x:c r="A76" s="55" t="n">
        <x:v>72</x:v>
      </x:c>
      <x:c r="B76" s="56" t="n">
        <x:v>45762</x:v>
      </x:c>
      <x:c r="C76" s="61" t="str">
        <x:v>청파동1가 89-26</x:v>
      </x:c>
      <x:c r="D76" s="61" t="str">
        <x:v>(89-26)</x:v>
      </x:c>
      <x:c r="E76" s="55" t="str">
        <x:v>다세대주택</x:v>
      </x:c>
      <x:c r="F76" s="57" t="n">
        <x:v>59000</x:v>
      </x:c>
      <x:c r="G76" s="58" t="n">
        <x:f>IFERROR(F76/10000,"")</x:f>
        <x:v>5.9</x:v>
      </x:c>
      <x:c r="H76" s="55" t="str">
        <x:v>다세대</x:v>
      </x:c>
      <x:c r="I76" s="59" t="n">
        <x:v>38.56</x:v>
      </x:c>
      <x:c r="J76" s="59" t="n">
        <x:f>IFERROR(I76/3.3058,"")</x:f>
        <x:v>11.664347510436203</x:v>
      </x:c>
      <x:c r="K76" s="57" t="n">
        <x:f>IFERROR(F76/J76,"")</x:f>
        <x:v>5058.148340248963</x:v>
      </x:c>
      <x:c r="L76" s="59" t="n">
        <x:v>53.76</x:v>
      </x:c>
      <x:c r="M76" s="57" t="n">
        <x:f>IFERROR(F76/(L76/3.3),"")</x:f>
        <x:v>3621.6517857142853</x:v>
      </x:c>
      <x:c r="N76" s="55" t="str">
        <x:v>-1</x:v>
      </x:c>
      <x:c r="O76" s="57" t="n">
        <x:v>32600</x:v>
      </x:c>
      <x:c r="P76" s="60" t="n">
        <x:f>IFERROR(F76/O76-1,"")</x:f>
        <x:v>0.8098159509202454</x:v>
      </x:c>
      <x:c r="Q76" s="55" t="n">
        <x:v>1986</x:v>
      </x:c>
      <x:c r="R76" s="55" t="str">
        <x:v>지하</x:v>
      </x:c>
      <x:c r="S76" s="55" t="str">
        <x:v>중개거래</x:v>
      </x:c>
      <x:c r="T76" s="55" t="str">
        <x:v>서울 강남구</x:v>
      </x:c>
      <x:c r="U76" s="55" t="n">
        <x:v>8515973</x:v>
      </x:c>
      <x:c r="V76" s="55" t="str">
        <x:v>활성</x:v>
      </x:c>
    </x:row>
    <x:row r="77">
      <x:c r="A77" s="55" t="n">
        <x:v>73</x:v>
      </x:c>
      <x:c r="B77" s="56" t="n">
        <x:v>45756</x:v>
      </x:c>
      <x:c r="C77" s="61" t="str">
        <x:v>청파동1가 3-27</x:v>
      </x:c>
      <x:c r="D77" s="61" t="str">
        <x:v>(3-27)</x:v>
      </x:c>
      <x:c r="E77" s="55" t="str">
        <x:v>다세대주택</x:v>
      </x:c>
      <x:c r="F77" s="57" t="n">
        <x:v>70000</x:v>
      </x:c>
      <x:c r="G77" s="58" t="n">
        <x:f>IFERROR(F77/10000,"")</x:f>
        <x:v>7</x:v>
      </x:c>
      <x:c r="H77" s="55" t="str">
        <x:v>다세대</x:v>
      </x:c>
      <x:c r="I77" s="59" t="n">
        <x:v>42.42</x:v>
      </x:c>
      <x:c r="J77" s="59" t="n">
        <x:f>IFERROR(I77/3.3058,"")</x:f>
        <x:v>12.831992256034848</x:v>
      </x:c>
      <x:c r="K77" s="57" t="n">
        <x:f>IFERROR(F77/J77,"")</x:f>
        <x:v>5455.115511551155</x:v>
      </x:c>
      <x:c r="L77" s="59" t="n">
        <x:v>49.32</x:v>
      </x:c>
      <x:c r="M77" s="57" t="n">
        <x:f>IFERROR(F77/(L77/3.3),"")</x:f>
        <x:v>4683.698296836982</x:v>
      </x:c>
      <x:c r="N77" s="55" t="str">
        <x:v>2</x:v>
      </x:c>
      <x:c r="O77" s="57" t="n">
        <x:v>45600</x:v>
      </x:c>
      <x:c r="P77" s="60" t="n">
        <x:f>IFERROR(F77/O77-1,"")</x:f>
        <x:v>0.5350877192982457</x:v>
      </x:c>
      <x:c r="Q77" s="55" t="n">
        <x:v>1988</x:v>
      </x:c>
      <x:c r="R77" s="55" t="str">
        <x:v>비지하</x:v>
      </x:c>
      <x:c r="S77" s="55" t="str">
        <x:v>중개거래</x:v>
      </x:c>
      <x:c r="T77" s="55" t="str">
        <x:v>서울 마포구</x:v>
      </x:c>
      <x:c r="U77" s="55" t="n">
        <x:v>8515982</x:v>
      </x:c>
      <x:c r="V77" s="55" t="str">
        <x:v>활성</x:v>
      </x:c>
    </x:row>
    <x:row r="78">
      <x:c r="A78" s="55" t="n">
        <x:v>74</x:v>
      </x:c>
      <x:c r="B78" s="56" t="n">
        <x:v>45742</x:v>
      </x:c>
      <x:c r="C78" s="61" t="str">
        <x:v>청파동1가 91-54</x:v>
      </x:c>
      <x:c r="D78" s="61" t="str">
        <x:v>청파시온빌</x:v>
      </x:c>
      <x:c r="E78" s="55" t="str">
        <x:v>다세대주택</x:v>
      </x:c>
      <x:c r="F78" s="57" t="n">
        <x:v>51500</x:v>
      </x:c>
      <x:c r="G78" s="58" t="n">
        <x:f>IFERROR(F78/10000,"")</x:f>
        <x:v>5.15</x:v>
      </x:c>
      <x:c r="H78" s="55" t="str">
        <x:v>다세대</x:v>
      </x:c>
      <x:c r="I78" s="59" t="n">
        <x:v>20.04</x:v>
      </x:c>
      <x:c r="J78" s="59" t="n">
        <x:f>IFERROR(I78/3.3058,"")</x:f>
        <x:v>6.062072720672757</x:v>
      </x:c>
      <x:c r="K78" s="57" t="n">
        <x:f>IFERROR(F78/J78,"")</x:f>
        <x:v>8495.444111776447</x:v>
      </x:c>
      <x:c r="L78" s="59" t="n">
        <x:v>25.69</x:v>
      </x:c>
      <x:c r="M78" s="57" t="n">
        <x:f>IFERROR(F78/(L78/3.3),"")</x:f>
        <x:v>6615.414558193849</x:v>
      </x:c>
      <x:c r="N78" s="55" t="str">
        <x:v>3</x:v>
      </x:c>
      <x:c r="O78" s="57" t="n">
        <x:v>31100</x:v>
      </x:c>
      <x:c r="P78" s="60" t="n">
        <x:f>IFERROR(F78/O78-1,"")</x:f>
        <x:v>0.6559485530546625</x:v>
      </x:c>
      <x:c r="Q78" s="55" t="n">
        <x:v>2017</x:v>
      </x:c>
      <x:c r="R78" s="55" t="str">
        <x:v>비지하</x:v>
      </x:c>
      <x:c r="S78" s="55" t="str">
        <x:v>중개거래</x:v>
      </x:c>
      <x:c r="T78" s="55" t="str">
        <x:v>서울 용산구</x:v>
      </x:c>
      <x:c r="U78" s="55" t="n">
        <x:v>8515836</x:v>
      </x:c>
      <x:c r="V78" s="55" t="str">
        <x:v>활성</x:v>
      </x:c>
    </x:row>
    <x:row r="79">
      <x:c r="A79" s="55" t="n">
        <x:v>75</x:v>
      </x:c>
      <x:c r="B79" s="56" t="n">
        <x:v>45710</x:v>
      </x:c>
      <x:c r="C79" s="61" t="str">
        <x:v>청파동1가 7-5</x:v>
      </x:c>
      <x:c r="D79" s="61" t="str">
        <x:v>(7-5)</x:v>
      </x:c>
      <x:c r="E79" s="55" t="str">
        <x:v>다세대주택</x:v>
      </x:c>
      <x:c r="F79" s="57" t="n">
        <x:v>88900</x:v>
      </x:c>
      <x:c r="G79" s="58" t="n">
        <x:f>IFERROR(F79/10000,"")</x:f>
        <x:v>8.89</x:v>
      </x:c>
      <x:c r="H79" s="55" t="str">
        <x:v>다세대</x:v>
      </x:c>
      <x:c r="I79" s="59" t="n">
        <x:v>64.4</x:v>
      </x:c>
      <x:c r="J79" s="59" t="n">
        <x:f>IFERROR(I79/3.3058,"")</x:f>
        <x:v>19.48091233589449</x:v>
      </x:c>
      <x:c r="K79" s="57" t="n">
        <x:f>IFERROR(F79/J79,"")</x:f>
        <x:v>4563.441304347825</x:v>
      </x:c>
      <x:c r="L79" s="59" t="n">
        <x:v>74.07</x:v>
      </x:c>
      <x:c r="M79" s="57" t="n">
        <x:f>IFERROR(F79/(L79/3.3),"")</x:f>
        <x:v>3960.7128392061563</x:v>
      </x:c>
      <x:c r="N79" s="55" t="str">
        <x:v>1</x:v>
      </x:c>
      <x:c r="O79" s="57" t="n">
        <x:v>59600</x:v>
      </x:c>
      <x:c r="P79" s="60" t="n">
        <x:f>IFERROR(F79/O79-1,"")</x:f>
        <x:v>0.49161073825503365</x:v>
      </x:c>
      <x:c r="Q79" s="55" t="n">
        <x:v>1989</x:v>
      </x:c>
      <x:c r="R79" s="55" t="str">
        <x:v>비지하</x:v>
      </x:c>
      <x:c r="S79" s="55" t="str">
        <x:v>중개거래</x:v>
      </x:c>
      <x:c r="T79" s="55" t="str">
        <x:v>서울 용산구</x:v>
      </x:c>
      <x:c r="U79" s="55" t="n">
        <x:v>8515771</x:v>
      </x:c>
      <x:c r="V79" s="55" t="str">
        <x:v>활성</x:v>
      </x:c>
    </x:row>
    <x:row r="80">
      <x:c r="A80" s="55" t="n">
        <x:v>76</x:v>
      </x:c>
      <x:c r="B80" s="56" t="n">
        <x:v>45659</x:v>
      </x:c>
      <x:c r="C80" s="61" t="str">
        <x:v>청파동1가 89-182</x:v>
      </x:c>
      <x:c r="D80" s="61" t="str">
        <x:v>(89-182)</x:v>
      </x:c>
      <x:c r="E80" s="55" t="str">
        <x:v>다세대주택</x:v>
      </x:c>
      <x:c r="F80" s="57" t="n">
        <x:v>30000</x:v>
      </x:c>
      <x:c r="G80" s="58" t="n">
        <x:f>IFERROR(F80/10000,"")</x:f>
        <x:v>3</x:v>
      </x:c>
      <x:c r="H80" s="55" t="str">
        <x:v>다세대</x:v>
      </x:c>
      <x:c r="I80" s="59" t="n">
        <x:v>24.7</x:v>
      </x:c>
      <x:c r="J80" s="59" t="n">
        <x:f>IFERROR(I80/3.3058,"")</x:f>
        <x:v>7.471716377276302</x:v>
      </x:c>
      <x:c r="K80" s="57" t="n">
        <x:f>IFERROR(F80/J80,"")</x:f>
        <x:v>4015.1417004048585</x:v>
      </x:c>
      <x:c r="L80" s="59" t="n">
        <x:v>36.8</x:v>
      </x:c>
      <x:c r="M80" s="57" t="n">
        <x:f>IFERROR(F80/(L80/3.3),"")</x:f>
        <x:v>2690.217391304348</x:v>
      </x:c>
      <x:c r="N80" s="55" t="str">
        <x:v>2</x:v>
      </x:c>
      <x:c r="O80" s="57" t="n">
        <x:v>32800</x:v>
      </x:c>
      <x:c r="P80" s="60" t="n">
        <x:f>IFERROR(F80/O80-1,"")</x:f>
        <x:v>-0.08536585365853655</x:v>
      </x:c>
      <x:c r="Q80" s="55" t="n">
        <x:v>1986</x:v>
      </x:c>
      <x:c r="R80" s="55" t="str">
        <x:v>비지하</x:v>
      </x:c>
      <x:c r="S80" s="55" t="str">
        <x:v>중개거래</x:v>
      </x:c>
      <x:c r="T80" s="55" t="str">
        <x:v>서울 관악구</x:v>
      </x:c>
      <x:c r="U80" s="55" t="n">
        <x:v>8515720</x:v>
      </x:c>
      <x:c r="V80" s="55" t="str">
        <x:v>활성</x:v>
      </x:c>
    </x:row>
    <x:row r="81">
      <x:c r="A81" s="55" t="n">
        <x:v>77</x:v>
      </x:c>
      <x:c r="B81" s="56" t="n">
        <x:v>45649</x:v>
      </x:c>
      <x:c r="C81" s="61" t="str">
        <x:v>청파동1가 1-158</x:v>
      </x:c>
      <x:c r="D81" s="61" t="str">
        <x:v>(1-158)</x:v>
      </x:c>
      <x:c r="E81" s="55" t="str">
        <x:v>다세대주택</x:v>
      </x:c>
      <x:c r="F81" s="57" t="n">
        <x:v>83000</x:v>
      </x:c>
      <x:c r="G81" s="58" t="n">
        <x:f>IFERROR(F81/10000,"")</x:f>
        <x:v>8.3</x:v>
      </x:c>
      <x:c r="H81" s="55" t="str">
        <x:v>다세대</x:v>
      </x:c>
      <x:c r="I81" s="59" t="n">
        <x:v>52.89</x:v>
      </x:c>
      <x:c r="J81" s="59" t="n">
        <x:f>IFERROR(I81/3.3058,"")</x:f>
        <x:v>15.999153003811482</x:v>
      </x:c>
      <x:c r="K81" s="57" t="n">
        <x:f>IFERROR(F81/J81,"")</x:f>
        <x:v>5187.774626583475</x:v>
      </x:c>
      <x:c r="L81" s="59" t="n">
        <x:v>75.59</x:v>
      </x:c>
      <x:c r="M81" s="57" t="n">
        <x:f>IFERROR(F81/(L81/3.3),"")</x:f>
        <x:v>3623.495171318957</x:v>
      </x:c>
      <x:c r="N81" s="55" t="str">
        <x:v>1</x:v>
      </x:c>
      <x:c r="O81" s="57" t="n">
        <x:v>67500</x:v>
      </x:c>
      <x:c r="P81" s="60" t="n">
        <x:f>IFERROR(F81/O81-1,"")</x:f>
        <x:v>0.22962962962962963</x:v>
      </x:c>
      <x:c r="Q81" s="55" t="n">
        <x:v>2009</x:v>
      </x:c>
      <x:c r="R81" s="55" t="str">
        <x:v>비지하</x:v>
      </x:c>
      <x:c r="S81" s="55" t="str">
        <x:v>중개거래</x:v>
      </x:c>
      <x:c r="T81" s="55" t="str">
        <x:v>서울 용산구</x:v>
      </x:c>
      <x:c r="U81" s="55" t="n">
        <x:v>20296424</x:v>
      </x:c>
      <x:c r="V81" s="55" t="str">
        <x:v>활성</x:v>
      </x:c>
    </x:row>
    <x:row r="82">
      <x:c r="A82" s="55" t="n">
        <x:v>78</x:v>
      </x:c>
      <x:c r="B82" s="56" t="n">
        <x:v>45617</x:v>
      </x:c>
      <x:c r="C82" s="61" t="str">
        <x:v>청파동1가 148-2</x:v>
      </x:c>
      <x:c r="D82" s="61" t="str">
        <x:v>(148-2)</x:v>
      </x:c>
      <x:c r="E82" s="55" t="str">
        <x:v>다세대주택</x:v>
      </x:c>
      <x:c r="F82" s="57" t="n">
        <x:v>59340</x:v>
      </x:c>
      <x:c r="G82" s="58" t="n">
        <x:f>IFERROR(F82/10000,"")</x:f>
        <x:v>5.934</x:v>
      </x:c>
      <x:c r="H82" s="55" t="str">
        <x:v>다세대</x:v>
      </x:c>
      <x:c r="I82" s="59" t="n">
        <x:v>18.4323</x:v>
      </x:c>
      <x:c r="J82" s="59" t="n">
        <x:f>IFERROR(I82/3.3058,"")</x:f>
        <x:v>5.575745659144534</x:v>
      </x:c>
      <x:c r="K82" s="57" t="n">
        <x:f>IFERROR(F82/J82,"")</x:f>
        <x:v>10642.522745398024</x:v>
      </x:c>
      <x:c r="L82" s="59" t="n">
        <x:v>29.94</x:v>
      </x:c>
      <x:c r="M82" s="57" t="n">
        <x:f>IFERROR(F82/(L82/3.3),"")</x:f>
        <x:v>6540.480961923847</x:v>
      </x:c>
      <x:c r="N82" s="55" t="str">
        <x:v>6</x:v>
      </x:c>
      <x:c r="O82" s="57" t="n">
        <x:v>45100</x:v>
      </x:c>
      <x:c r="P82" s="60" t="n">
        <x:f>IFERROR(F82/O82-1,"")</x:f>
        <x:v>0.3157427937915742</x:v>
      </x:c>
      <x:c r="Q82" s="55" t="n">
        <x:v>2021</x:v>
      </x:c>
      <x:c r="R82" s="55" t="str">
        <x:v>비지하</x:v>
      </x:c>
      <x:c r="S82" s="55" t="str">
        <x:v>중개거래</x:v>
      </x:c>
      <x:c r="T82" s="55" t="str">
        <x:v>서울 용산구</x:v>
      </x:c>
      <x:c r="U82" s="55" t="n">
        <x:v>20296400</x:v>
      </x:c>
      <x:c r="V82" s="55" t="str">
        <x:v>활성</x:v>
      </x:c>
    </x:row>
    <x:row r="83">
      <x:c r="A83" s="55" t="n">
        <x:v>79</x:v>
      </x:c>
      <x:c r="B83" s="56" t="n">
        <x:v>45539</x:v>
      </x:c>
      <x:c r="C83" s="61" t="str">
        <x:v>청파동1가 1-46</x:v>
      </x:c>
      <x:c r="D83" s="61" t="str">
        <x:v>에버그린</x:v>
      </x:c>
      <x:c r="E83" s="55" t="str">
        <x:v>다세대주택</x:v>
      </x:c>
      <x:c r="F83" s="57" t="n">
        <x:v>64000</x:v>
      </x:c>
      <x:c r="G83" s="58" t="n">
        <x:f>IFERROR(F83/10000,"")</x:f>
        <x:v>6.4</x:v>
      </x:c>
      <x:c r="H83" s="55" t="str">
        <x:v>다세대</x:v>
      </x:c>
      <x:c r="I83" s="59" t="n">
        <x:v>36.4</x:v>
      </x:c>
      <x:c r="J83" s="59" t="n">
        <x:f>IFERROR(I83/3.3058,"")</x:f>
        <x:v>11.010950450722971</x:v>
      </x:c>
      <x:c r="K83" s="57" t="n">
        <x:f>IFERROR(F83/J83,"")</x:f>
        <x:v>5812.395604395605</x:v>
      </x:c>
      <x:c r="L83" s="59" t="n">
        <x:v>74.37</x:v>
      </x:c>
      <x:c r="M83" s="57" t="n">
        <x:f>IFERROR(F83/(L83/3.3),"")</x:f>
        <x:v>2839.8547801532873</x:v>
      </x:c>
      <x:c r="N83" s="55" t="str">
        <x:v>-1</x:v>
      </x:c>
      <x:c r="O83" s="57" t="n">
        <x:v>41000</x:v>
      </x:c>
      <x:c r="P83" s="60" t="n">
        <x:f>IFERROR(F83/O83-1,"")</x:f>
        <x:v>0.5609756097560976</x:v>
      </x:c>
      <x:c r="Q83" s="55" t="n">
        <x:v>2008</x:v>
      </x:c>
      <x:c r="R83" s="55" t="str">
        <x:v>지하</x:v>
      </x:c>
      <x:c r="S83" s="55" t="str">
        <x:v>중개거래</x:v>
      </x:c>
      <x:c r="T83" s="55" t="str">
        <x:v>서울 서대문구, 서울 용산구</x:v>
      </x:c>
      <x:c r="U83" s="55" t="n">
        <x:v>20296297</x:v>
      </x:c>
      <x:c r="V83" s="55" t="str">
        <x:v>활성</x:v>
      </x:c>
    </x:row>
  </x:sheetData>
  <x:mergeCells>
    <x:mergeCell ref="A1:V1"/>
    <x:mergeCell ref="A2:V2"/>
  </x:mergeCells>
  <x:pageMargins left="0.7" right="0.7" top="0.75" bottom="0.75" header="0.3" footer="0.3"/>
  <x:tableParts count="1">
    <x:tablePart xmlns:r="http://schemas.openxmlformats.org/officeDocument/2006/relationships" r:id="R75652081920746b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3" hidden="0" customWidth="1"/>
    <x:col min="3" max="3" width="22" hidden="0" customWidth="1"/>
    <x:col min="4" max="4" width="20" hidden="0" customWidth="1"/>
    <x:col min="5" max="5" width="14" hidden="0" customWidth="1"/>
    <x:col min="6" max="6" width="15" hidden="0" customWidth="1"/>
    <x:col min="7" max="7" width="14" hidden="0" customWidth="1"/>
    <x:col min="8" max="8" width="12" hidden="0" customWidth="1"/>
    <x:col min="9" max="9" width="14" hidden="0" customWidth="1"/>
    <x:col min="10" max="10" width="13" hidden="0" customWidth="1"/>
    <x:col min="11" max="11" width="16" hidden="0" customWidth="1"/>
    <x:col min="12" max="12" width="16" hidden="0" customWidth="1"/>
    <x:col min="13" max="13" width="16" hidden="0" customWidth="1"/>
    <x:col min="14" max="14" width="8" hidden="0" customWidth="1"/>
    <x:col min="15" max="15" width="15" hidden="0" customWidth="1"/>
    <x:col min="16" max="16" width="14" hidden="0" customWidth="1"/>
    <x:col min="17" max="17" width="11" hidden="0" customWidth="1"/>
    <x:col min="18" max="18" width="10" hidden="0" customWidth="1"/>
    <x:col min="19" max="19" width="10" hidden="0" customWidth="1"/>
    <x:col min="20" max="20" width="22" hidden="0" customWidth="1"/>
    <x:col min="21" max="21" width="12" hidden="0" customWidth="1"/>
    <x:col min="22" max="22" width="12" hidden="0" customWidth="1"/>
  </x:cols>
  <x:sheetData>
    <x:row r="1" ht="28" customHeight="1">
      <x:c r="A1" s="4" t="str">
        <x:v>서계_비교표본 실거래가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</x:row>
    <x:row r="2" ht="32" customHeight="1">
      <x:c r="A2" s="52" t="str">
        <x:v>다세대주택 · 비지하 · 대지지분 15~50㎡ · 24개월 비교표본</x:v>
      </x:c>
      <x:c r="B2" s="52"/>
      <x:c r="C2" s="52"/>
      <x:c r="D2" s="52"/>
      <x:c r="E2" s="52"/>
      <x:c r="F2" s="52"/>
      <x:c r="G2" s="52"/>
      <x:c r="H2" s="52"/>
      <x:c r="I2" s="52"/>
      <x:c r="J2" s="52"/>
      <x:c r="K2" s="52"/>
      <x:c r="L2" s="52"/>
      <x:c r="M2" s="52"/>
      <x:c r="N2" s="52"/>
      <x:c r="O2" s="52"/>
      <x:c r="P2" s="52"/>
      <x:c r="Q2" s="52"/>
      <x:c r="R2" s="52"/>
      <x:c r="S2" s="52"/>
      <x:c r="T2" s="52"/>
      <x:c r="U2" s="52"/>
      <x:c r="V2" s="52"/>
    </x:row>
    <x:row r="4">
      <x:c r="A4" s="13" t="str">
        <x:v>순번</x:v>
      </x:c>
      <x:c r="B4" s="13" t="str">
        <x:v>계약일</x:v>
      </x:c>
      <x:c r="C4" s="13" t="str">
        <x:v>지번</x:v>
      </x:c>
      <x:c r="D4" s="13" t="str">
        <x:v>건물명</x:v>
      </x:c>
      <x:c r="E4" s="13" t="str">
        <x:v>건물 유형</x:v>
      </x:c>
      <x:c r="F4" s="13" t="str">
        <x:v>거래금액 (만원)</x:v>
      </x:c>
      <x:c r="G4" s="13" t="str">
        <x:v>거래금액 (억원)</x:v>
      </x:c>
      <x:c r="H4" s="13" t="str">
        <x:v>주택 유형</x:v>
      </x:c>
      <x:c r="I4" s="13" t="str">
        <x:v>대지지분 (㎡)</x:v>
      </x:c>
      <x:c r="J4" s="13" t="str">
        <x:v>대지지분 (평)</x:v>
      </x:c>
      <x:c r="K4" s="13" t="str">
        <x:v>대지평단가 (만원)</x:v>
      </x:c>
      <x:c r="L4" s="13" t="str">
        <x:v>전용/연면적 (㎡)</x:v>
      </x:c>
      <x:c r="M4" s="13" t="str">
        <x:v>전용평단가 (만원)</x:v>
      </x:c>
      <x:c r="N4" s="13" t="str">
        <x:v>층</x:v>
      </x:c>
      <x:c r="O4" s="13" t="str">
        <x:v>공시가격 (만원)</x:v>
      </x:c>
      <x:c r="P4" s="13" t="str">
        <x:v>공시가 초과율</x:v>
      </x:c>
      <x:c r="Q4" s="13" t="str">
        <x:v>신축연도</x:v>
      </x:c>
      <x:c r="R4" s="13" t="str">
        <x:v>지하 여부</x:v>
      </x:c>
      <x:c r="S4" s="13" t="str">
        <x:v>직거래</x:v>
      </x:c>
      <x:c r="T4" s="13" t="str">
        <x:v>중개 소재지</x:v>
      </x:c>
      <x:c r="U4" s="13" t="str">
        <x:v>거래 ID</x:v>
      </x:c>
      <x:c r="V4" s="13" t="str">
        <x:v>상태</x:v>
      </x:c>
    </x:row>
    <x:row r="5">
      <x:c r="A5" s="55" t="n">
        <x:v>1</x:v>
      </x:c>
      <x:c r="B5" s="56" t="n">
        <x:v>46207</x:v>
      </x:c>
      <x:c r="C5" s="61" t="str">
        <x:v>서계동 258-1</x:v>
      </x:c>
      <x:c r="D5" s="61" t="str">
        <x:v>(258-1)</x:v>
      </x:c>
      <x:c r="E5" s="55" t="str">
        <x:v>다세대주택</x:v>
      </x:c>
      <x:c r="F5" s="57" t="n">
        <x:v>97000</x:v>
      </x:c>
      <x:c r="G5" s="58" t="n">
        <x:f>IFERROR(F5/10000,"")</x:f>
        <x:v>9.7</x:v>
      </x:c>
      <x:c r="H5" s="55" t="str">
        <x:v>다세대</x:v>
      </x:c>
      <x:c r="I5" s="59" t="n">
        <x:v>17.9</x:v>
      </x:c>
      <x:c r="J5" s="59" t="n">
        <x:f>IFERROR(I5/3.3058,"")</x:f>
        <x:v>5.414725633734648</x:v>
      </x:c>
      <x:c r="K5" s="57" t="n">
        <x:f>IFERROR(F5/J5,"")</x:f>
        <x:v>17914.111731843575</x:v>
      </x:c>
      <x:c r="L5" s="59" t="n">
        <x:v>54.47</x:v>
      </x:c>
      <x:c r="M5" s="57" t="n">
        <x:f>IFERROR(F5/(L5/3.3),"")</x:f>
        <x:v>5876.629337249862</x:v>
      </x:c>
      <x:c r="N5" s="55" t="str">
        <x:v>4</x:v>
      </x:c>
      <x:c r="O5" s="57" t="n">
        <x:v>31500</x:v>
      </x:c>
      <x:c r="P5" s="60" t="n">
        <x:f>IFERROR(F5/O5-1,"")</x:f>
        <x:v>2.0793650793650795</x:v>
      </x:c>
      <x:c r="Q5" s="55" t="n">
        <x:v>1998</x:v>
      </x:c>
      <x:c r="R5" s="55" t="str">
        <x:v>비지하</x:v>
      </x:c>
      <x:c r="S5" s="55" t="str">
        <x:v>중개거래</x:v>
      </x:c>
      <x:c r="T5" s="55" t="str">
        <x:v>서울 용산구</x:v>
      </x:c>
      <x:c r="U5" s="55" t="n">
        <x:v>30156258</x:v>
      </x:c>
      <x:c r="V5" s="55" t="str">
        <x:v>활성</x:v>
      </x:c>
    </x:row>
    <x:row r="6">
      <x:c r="A6" s="55" t="n">
        <x:v>2</x:v>
      </x:c>
      <x:c r="B6" s="56" t="n">
        <x:v>46203</x:v>
      </x:c>
      <x:c r="C6" s="61" t="str">
        <x:v>청파동1가 1-58</x:v>
      </x:c>
      <x:c r="D6" s="61" t="str">
        <x:v>청파동다세대주택</x:v>
      </x:c>
      <x:c r="E6" s="55" t="str">
        <x:v>다세대주택</x:v>
      </x:c>
      <x:c r="F6" s="57" t="n">
        <x:v>107000</x:v>
      </x:c>
      <x:c r="G6" s="58" t="n">
        <x:f>IFERROR(F6/10000,"")</x:f>
        <x:v>10.7</x:v>
      </x:c>
      <x:c r="H6" s="55" t="str">
        <x:v>다세대</x:v>
      </x:c>
      <x:c r="I6" s="59" t="n">
        <x:v>27</x:v>
      </x:c>
      <x:c r="J6" s="59" t="n">
        <x:f>IFERROR(I6/3.3058,"")</x:f>
        <x:v>8.167463246415391</x:v>
      </x:c>
      <x:c r="K6" s="57" t="n">
        <x:f>IFERROR(F6/J6,"")</x:f>
        <x:v>13100.762962962963</x:v>
      </x:c>
      <x:c r="L6" s="59" t="n">
        <x:v>31.35</x:v>
      </x:c>
      <x:c r="M6" s="57" t="n">
        <x:f>IFERROR(F6/(L6/3.3),"")</x:f>
        <x:v>11263.15789473684</x:v>
      </x:c>
      <x:c r="N6" s="55" t="str">
        <x:v>3</x:v>
      </x:c>
      <x:c r="O6" s="57" t="n">
        <x:v>37200</x:v>
      </x:c>
      <x:c r="P6" s="60" t="n">
        <x:f>IFERROR(F6/O6-1,"")</x:f>
        <x:v>1.8763440860215055</x:v>
      </x:c>
      <x:c r="Q6" s="55" t="n">
        <x:v>2007</x:v>
      </x:c>
      <x:c r="R6" s="55" t="str">
        <x:v>비지하</x:v>
      </x:c>
      <x:c r="S6" s="55" t="str">
        <x:v>중개거래</x:v>
      </x:c>
      <x:c r="T6" s="55" t="str">
        <x:v>서울 용산구</x:v>
      </x:c>
      <x:c r="U6" s="55" t="n">
        <x:v>30038549</x:v>
      </x:c>
      <x:c r="V6" s="55" t="str">
        <x:v>활성</x:v>
      </x:c>
    </x:row>
    <x:row r="7">
      <x:c r="A7" s="55" t="n">
        <x:v>3</x:v>
      </x:c>
      <x:c r="B7" s="56" t="n">
        <x:v>46149</x:v>
      </x:c>
      <x:c r="C7" s="61" t="str">
        <x:v>서계동 33-233</x:v>
      </x:c>
      <x:c r="D7" s="61" t="str">
        <x:v>오브레더서계</x:v>
      </x:c>
      <x:c r="E7" s="55" t="str">
        <x:v>다세대주택</x:v>
      </x:c>
      <x:c r="F7" s="57" t="n">
        <x:v>75000</x:v>
      </x:c>
      <x:c r="G7" s="58" t="n">
        <x:f>IFERROR(F7/10000,"")</x:f>
        <x:v>7.5</x:v>
      </x:c>
      <x:c r="H7" s="55" t="str">
        <x:v>다세대</x:v>
      </x:c>
      <x:c r="I7" s="59" t="n">
        <x:v>21.75</x:v>
      </x:c>
      <x:c r="J7" s="59" t="n">
        <x:f>IFERROR(I7/3.3058,"")</x:f>
        <x:v>6.579345392945732</x:v>
      </x:c>
      <x:c r="K7" s="57" t="n">
        <x:f>IFERROR(F7/J7,"")</x:f>
        <x:v>11399.310344827585</x:v>
      </x:c>
      <x:c r="L7" s="59" t="n">
        <x:v>29.99</x:v>
      </x:c>
      <x:c r="M7" s="57" t="n">
        <x:f>IFERROR(F7/(L7/3.3),"")</x:f>
        <x:v>8252.750916972323</x:v>
      </x:c>
      <x:c r="N7" s="55" t="str">
        <x:v>2</x:v>
      </x:c>
      <x:c r="O7" s="57" t="n">
        <x:v>47200</x:v>
      </x:c>
      <x:c r="P7" s="60" t="n">
        <x:f>IFERROR(F7/O7-1,"")</x:f>
        <x:v>0.5889830508474576</x:v>
      </x:c>
      <x:c r="Q7" s="55" t="n">
        <x:v>2022</x:v>
      </x:c>
      <x:c r="R7" s="55" t="str">
        <x:v>비지하</x:v>
      </x:c>
      <x:c r="S7" s="55" t="str">
        <x:v>중개거래</x:v>
      </x:c>
      <x:c r="T7" s="55" t="str">
        <x:v>서울 용산구</x:v>
      </x:c>
      <x:c r="U7" s="55" t="n">
        <x:v>27664144</x:v>
      </x:c>
      <x:c r="V7" s="55" t="str">
        <x:v>활성</x:v>
      </x:c>
    </x:row>
    <x:row r="8">
      <x:c r="A8" s="55" t="n">
        <x:v>4</x:v>
      </x:c>
      <x:c r="B8" s="56" t="n">
        <x:v>46143</x:v>
      </x:c>
      <x:c r="C8" s="61" t="str">
        <x:v>서계동 54-12</x:v>
      </x:c>
      <x:c r="D8" s="61" t="str">
        <x:v>미도A</x:v>
      </x:c>
      <x:c r="E8" s="55" t="str">
        <x:v>다세대주택</x:v>
      </x:c>
      <x:c r="F8" s="57" t="n">
        <x:v>100000</x:v>
      </x:c>
      <x:c r="G8" s="58" t="n">
        <x:f>IFERROR(F8/10000,"")</x:f>
        <x:v>10</x:v>
      </x:c>
      <x:c r="H8" s="55" t="str">
        <x:v>다세대</x:v>
      </x:c>
      <x:c r="I8" s="59" t="n">
        <x:v>33.94</x:v>
      </x:c>
      <x:c r="J8" s="59" t="n">
        <x:f>IFERROR(I8/3.3058,"")</x:f>
        <x:v>10.266803799382902</x:v>
      </x:c>
      <x:c r="K8" s="57" t="n">
        <x:f>IFERROR(F8/J8,"")</x:f>
        <x:v>9740.129640542133</x:v>
      </x:c>
      <x:c r="L8" s="59" t="n">
        <x:v>50.82</x:v>
      </x:c>
      <x:c r="M8" s="57" t="n">
        <x:f>IFERROR(F8/(L8/3.3),"")</x:f>
        <x:v>6493.506493506493</x:v>
      </x:c>
      <x:c r="N8" s="55" t="str">
        <x:v>2</x:v>
      </x:c>
      <x:c r="O8" s="57" t="n">
        <x:v>52200</x:v>
      </x:c>
      <x:c r="P8" s="60" t="n">
        <x:f>IFERROR(F8/O8-1,"")</x:f>
        <x:v>0.9157088122605364</x:v>
      </x:c>
      <x:c r="Q8" s="55" t="n">
        <x:v>1987</x:v>
      </x:c>
      <x:c r="R8" s="55" t="str">
        <x:v>비지하</x:v>
      </x:c>
      <x:c r="S8" s="55" t="str">
        <x:v>중개거래</x:v>
      </x:c>
      <x:c r="T8" s="55" t="str">
        <x:v>서울 용산구</x:v>
      </x:c>
      <x:c r="U8" s="55" t="n">
        <x:v>27664188</x:v>
      </x:c>
      <x:c r="V8" s="55" t="str">
        <x:v>활성</x:v>
      </x:c>
    </x:row>
    <x:row r="9">
      <x:c r="A9" s="55" t="n">
        <x:v>5</x:v>
      </x:c>
      <x:c r="B9" s="56" t="n">
        <x:v>46143</x:v>
      </x:c>
      <x:c r="C9" s="61" t="str">
        <x:v>청파동1가 1-15</x:v>
      </x:c>
      <x:c r="D9" s="61" t="str">
        <x:v>1-15</x:v>
      </x:c>
      <x:c r="E9" s="55" t="str">
        <x:v>다세대주택</x:v>
      </x:c>
      <x:c r="F9" s="57" t="n">
        <x:v>80000</x:v>
      </x:c>
      <x:c r="G9" s="58" t="n">
        <x:f>IFERROR(F9/10000,"")</x:f>
        <x:v>8</x:v>
      </x:c>
      <x:c r="H9" s="55" t="str">
        <x:v>다세대</x:v>
      </x:c>
      <x:c r="I9" s="59" t="n">
        <x:v>21.71</x:v>
      </x:c>
      <x:c r="J9" s="59" t="n">
        <x:f>IFERROR(I9/3.3058,"")</x:f>
        <x:v>6.567245447395487</x:v>
      </x:c>
      <x:c r="K9" s="57" t="n">
        <x:f>IFERROR(F9/J9,"")</x:f>
        <x:v>12181.667434362045</x:v>
      </x:c>
      <x:c r="L9" s="59" t="n">
        <x:v>26.84</x:v>
      </x:c>
      <x:c r="M9" s="57" t="n">
        <x:f>IFERROR(F9/(L9/3.3),"")</x:f>
        <x:v>9836.065573770493</x:v>
      </x:c>
      <x:c r="N9" s="55" t="str">
        <x:v>1</x:v>
      </x:c>
      <x:c r="O9" s="57" t="n">
        <x:v>25400</x:v>
      </x:c>
      <x:c r="P9" s="60" t="n">
        <x:f>IFERROR(F9/O9-1,"")</x:f>
        <x:v>2.1496062992125986</x:v>
      </x:c>
      <x:c r="Q9" s="55" t="n">
        <x:v>2015</x:v>
      </x:c>
      <x:c r="R9" s="55" t="str">
        <x:v>비지하</x:v>
      </x:c>
      <x:c r="S9" s="55" t="str">
        <x:v>중개거래</x:v>
      </x:c>
      <x:c r="T9" s="55" t="str">
        <x:v>서울 용산구</x:v>
      </x:c>
      <x:c r="U9" s="55" t="n">
        <x:v>27664169</x:v>
      </x:c>
      <x:c r="V9" s="55" t="str">
        <x:v>활성</x:v>
      </x:c>
    </x:row>
    <x:row r="10">
      <x:c r="A10" s="55" t="n">
        <x:v>6</x:v>
      </x:c>
      <x:c r="B10" s="56" t="n">
        <x:v>46139</x:v>
      </x:c>
      <x:c r="C10" s="61" t="str">
        <x:v>서계동 246-2</x:v>
      </x:c>
      <x:c r="D10" s="61" t="str">
        <x:v>수정빌라(246-2)</x:v>
      </x:c>
      <x:c r="E10" s="55" t="str">
        <x:v>다세대주택</x:v>
      </x:c>
      <x:c r="F10" s="57" t="n">
        <x:v>60000</x:v>
      </x:c>
      <x:c r="G10" s="58" t="n">
        <x:f>IFERROR(F10/10000,"")</x:f>
        <x:v>6</x:v>
      </x:c>
      <x:c r="H10" s="55" t="str">
        <x:v>다세대</x:v>
      </x:c>
      <x:c r="I10" s="59" t="n">
        <x:v>15.36</x:v>
      </x:c>
      <x:c r="J10" s="59" t="n">
        <x:f>IFERROR(I10/3.3058,"")</x:f>
        <x:v>4.646379091294089</x:v>
      </x:c>
      <x:c r="K10" s="57" t="n">
        <x:f>IFERROR(F10/J10,"")</x:f>
        <x:v>12913.28125</x:v>
      </x:c>
      <x:c r="L10" s="59" t="n">
        <x:v>40.17</x:v>
      </x:c>
      <x:c r="M10" s="57" t="n">
        <x:f>IFERROR(F10/(L10/3.3),"")</x:f>
        <x:v>4929.051530993278</x:v>
      </x:c>
      <x:c r="N10" s="55" t="str">
        <x:v>4</x:v>
      </x:c>
      <x:c r="O10" s="57" t="n">
        <x:v>24100</x:v>
      </x:c>
      <x:c r="P10" s="60" t="n">
        <x:f>IFERROR(F10/O10-1,"")</x:f>
        <x:v>1.4896265560165975</x:v>
      </x:c>
      <x:c r="Q10" s="55" t="n">
        <x:v>1997</x:v>
      </x:c>
      <x:c r="R10" s="55" t="str">
        <x:v>비지하</x:v>
      </x:c>
      <x:c r="S10" s="55" t="str">
        <x:v>직거래</x:v>
      </x:c>
      <x:c r="T10" s="55" t="str"/>
      <x:c r="U10" s="55" t="n">
        <x:v>24959323</x:v>
      </x:c>
      <x:c r="V10" s="55" t="str">
        <x:v>활성</x:v>
      </x:c>
    </x:row>
    <x:row r="11">
      <x:c r="A11" s="55" t="n">
        <x:v>7</x:v>
      </x:c>
      <x:c r="B11" s="56" t="n">
        <x:v>46133</x:v>
      </x:c>
      <x:c r="C11" s="61" t="str">
        <x:v>서계동 242-2</x:v>
      </x:c>
      <x:c r="D11" s="61" t="str">
        <x:v>242-2</x:v>
      </x:c>
      <x:c r="E11" s="55" t="str">
        <x:v>다세대주택</x:v>
      </x:c>
      <x:c r="F11" s="57" t="n">
        <x:v>45300</x:v>
      </x:c>
      <x:c r="G11" s="58" t="n">
        <x:f>IFERROR(F11/10000,"")</x:f>
        <x:v>4.53</x:v>
      </x:c>
      <x:c r="H11" s="55" t="str">
        <x:v>다세대</x:v>
      </x:c>
      <x:c r="I11" s="59" t="n">
        <x:v>17.5495</x:v>
      </x:c>
      <x:c r="J11" s="59" t="n">
        <x:f>IFERROR(I11/3.3058,"")</x:f>
        <x:v>5.308699860850625</x:v>
      </x:c>
      <x:c r="K11" s="57" t="n">
        <x:f>IFERROR(F11/J11,"")</x:f>
        <x:v>8533.162768170036</x:v>
      </x:c>
      <x:c r="L11" s="59" t="n">
        <x:v>25.36</x:v>
      </x:c>
      <x:c r="M11" s="57" t="n">
        <x:f>IFERROR(F11/(L11/3.3),"")</x:f>
        <x:v>5894.716088328075</x:v>
      </x:c>
      <x:c r="N11" s="55" t="str">
        <x:v>5</x:v>
      </x:c>
      <x:c r="O11" s="57" t="n">
        <x:v>38700</x:v>
      </x:c>
      <x:c r="P11" s="60" t="n">
        <x:f>IFERROR(F11/O11-1,"")</x:f>
        <x:v>0.1705426356589148</x:v>
      </x:c>
      <x:c r="Q11" s="55" t="n">
        <x:v>2021</x:v>
      </x:c>
      <x:c r="R11" s="55" t="str">
        <x:v>비지하</x:v>
      </x:c>
      <x:c r="S11" s="55" t="str">
        <x:v>직거래</x:v>
      </x:c>
      <x:c r="T11" s="55" t="str"/>
      <x:c r="U11" s="55" t="n">
        <x:v>24959341</x:v>
      </x:c>
      <x:c r="V11" s="55" t="str">
        <x:v>활성</x:v>
      </x:c>
    </x:row>
    <x:row r="12">
      <x:c r="A12" s="55" t="n">
        <x:v>8</x:v>
      </x:c>
      <x:c r="B12" s="56" t="n">
        <x:v>46121</x:v>
      </x:c>
      <x:c r="C12" s="61" t="str">
        <x:v>서계동 246-42</x:v>
      </x:c>
      <x:c r="D12" s="61" t="str">
        <x:v>청운빌라</x:v>
      </x:c>
      <x:c r="E12" s="55" t="str">
        <x:v>다세대주택</x:v>
      </x:c>
      <x:c r="F12" s="57" t="n">
        <x:v>100000</x:v>
      </x:c>
      <x:c r="G12" s="58" t="n">
        <x:f>IFERROR(F12/10000,"")</x:f>
        <x:v>10</x:v>
      </x:c>
      <x:c r="H12" s="55" t="str">
        <x:v>다세대</x:v>
      </x:c>
      <x:c r="I12" s="59" t="n">
        <x:v>18.45</x:v>
      </x:c>
      <x:c r="J12" s="59" t="n">
        <x:f>IFERROR(I12/3.3058,"")</x:f>
        <x:v>5.581099885050517</x:v>
      </x:c>
      <x:c r="K12" s="57" t="n">
        <x:f>IFERROR(F12/J12,"")</x:f>
        <x:v>17917.61517615176</x:v>
      </x:c>
      <x:c r="L12" s="59" t="n">
        <x:v>57.02</x:v>
      </x:c>
      <x:c r="M12" s="57" t="n">
        <x:f>IFERROR(F12/(L12/3.3),"")</x:f>
        <x:v>5787.4430024552785</x:v>
      </x:c>
      <x:c r="N12" s="55" t="str">
        <x:v>3</x:v>
      </x:c>
      <x:c r="O12" s="57" t="n">
        <x:v>34400</x:v>
      </x:c>
      <x:c r="P12" s="60" t="n">
        <x:f>IFERROR(F12/O12-1,"")</x:f>
        <x:v>1.9069767441860463</x:v>
      </x:c>
      <x:c r="Q12" s="55" t="n">
        <x:v>2001</x:v>
      </x:c>
      <x:c r="R12" s="55" t="str">
        <x:v>비지하</x:v>
      </x:c>
      <x:c r="S12" s="55" t="str">
        <x:v>중개거래</x:v>
      </x:c>
      <x:c r="T12" s="55" t="str">
        <x:v>서울 용산구</x:v>
      </x:c>
      <x:c r="U12" s="55" t="n">
        <x:v>24959363</x:v>
      </x:c>
      <x:c r="V12" s="55" t="str">
        <x:v>활성</x:v>
      </x:c>
    </x:row>
    <x:row r="13">
      <x:c r="A13" s="55" t="n">
        <x:v>9</x:v>
      </x:c>
      <x:c r="B13" s="56" t="n">
        <x:v>46115</x:v>
      </x:c>
      <x:c r="C13" s="61" t="str">
        <x:v>서계동 246-24</x:v>
      </x:c>
      <x:c r="D13" s="61" t="str">
        <x:v>(246-24)</x:v>
      </x:c>
      <x:c r="E13" s="55" t="str">
        <x:v>다세대주택</x:v>
      </x:c>
      <x:c r="F13" s="57" t="n">
        <x:v>93000</x:v>
      </x:c>
      <x:c r="G13" s="58" t="n">
        <x:f>IFERROR(F13/10000,"")</x:f>
        <x:v>9.3</x:v>
      </x:c>
      <x:c r="H13" s="55" t="str">
        <x:v>다세대</x:v>
      </x:c>
      <x:c r="I13" s="59" t="n">
        <x:v>18.8</x:v>
      </x:c>
      <x:c r="J13" s="59" t="n">
        <x:f>IFERROR(I13/3.3058,"")</x:f>
        <x:v>5.6869744086151615</x:v>
      </x:c>
      <x:c r="K13" s="57" t="n">
        <x:f>IFERROR(F13/J13,"")</x:f>
        <x:v>16353.159574468085</x:v>
      </x:c>
      <x:c r="L13" s="59" t="n">
        <x:v>47.14</x:v>
      </x:c>
      <x:c r="M13" s="57" t="n">
        <x:f>IFERROR(F13/(L13/3.3),"")</x:f>
        <x:v>6510.394569367841</x:v>
      </x:c>
      <x:c r="N13" s="55" t="str">
        <x:v>1</x:v>
      </x:c>
      <x:c r="O13" s="57" t="n">
        <x:v>30200</x:v>
      </x:c>
      <x:c r="P13" s="60" t="n">
        <x:f>IFERROR(F13/O13-1,"")</x:f>
        <x:v>2.0794701986754967</x:v>
      </x:c>
      <x:c r="Q13" s="55" t="n">
        <x:v>1997</x:v>
      </x:c>
      <x:c r="R13" s="55" t="str">
        <x:v>비지하</x:v>
      </x:c>
      <x:c r="S13" s="55" t="str">
        <x:v>중개거래</x:v>
      </x:c>
      <x:c r="T13" s="55" t="str">
        <x:v>서울 용산구, 서울 중구</x:v>
      </x:c>
      <x:c r="U13" s="55" t="n">
        <x:v>24959373</x:v>
      </x:c>
      <x:c r="V13" s="55" t="str">
        <x:v>활성</x:v>
      </x:c>
    </x:row>
    <x:row r="14">
      <x:c r="A14" s="55" t="n">
        <x:v>10</x:v>
      </x:c>
      <x:c r="B14" s="56" t="n">
        <x:v>46108</x:v>
      </x:c>
      <x:c r="C14" s="61" t="str">
        <x:v>청파동1가 1-95</x:v>
      </x:c>
      <x:c r="D14" s="61" t="str">
        <x:v>대성빌라2차</x:v>
      </x:c>
      <x:c r="E14" s="55" t="str">
        <x:v>다세대주택</x:v>
      </x:c>
      <x:c r="F14" s="57" t="n">
        <x:v>88000</x:v>
      </x:c>
      <x:c r="G14" s="58" t="n">
        <x:f>IFERROR(F14/10000,"")</x:f>
        <x:v>8.8</x:v>
      </x:c>
      <x:c r="H14" s="55" t="str">
        <x:v>연립</x:v>
      </x:c>
      <x:c r="I14" s="59" t="n">
        <x:v>31.67</x:v>
      </x:c>
      <x:c r="J14" s="59" t="n">
        <x:f>IFERROR(I14/3.3058,"")</x:f>
        <x:v>9.580131889406498</x:v>
      </x:c>
      <x:c r="K14" s="57" t="n">
        <x:f>IFERROR(F14/J14,"")</x:f>
        <x:v>9185.677297126618</x:v>
      </x:c>
      <x:c r="L14" s="59" t="n">
        <x:v>75.72</x:v>
      </x:c>
      <x:c r="M14" s="57" t="n">
        <x:f>IFERROR(F14/(L14/3.3),"")</x:f>
        <x:v>3835.1822503961967</x:v>
      </x:c>
      <x:c r="N14" s="55" t="str">
        <x:v>3</x:v>
      </x:c>
      <x:c r="O14" s="57" t="n">
        <x:v>36300</x:v>
      </x:c>
      <x:c r="P14" s="60" t="n">
        <x:f>IFERROR(F14/O14-1,"")</x:f>
        <x:v>1.4242424242424243</x:v>
      </x:c>
      <x:c r="Q14" s="55" t="n">
        <x:v>1995</x:v>
      </x:c>
      <x:c r="R14" s="55" t="str">
        <x:v>비지하</x:v>
      </x:c>
      <x:c r="S14" s="55" t="str">
        <x:v>중개거래</x:v>
      </x:c>
      <x:c r="T14" s="55" t="str">
        <x:v>서울 용산구</x:v>
      </x:c>
      <x:c r="U14" s="55" t="n">
        <x:v>25444612</x:v>
      </x:c>
      <x:c r="V14" s="55" t="str">
        <x:v>활성</x:v>
      </x:c>
    </x:row>
    <x:row r="15">
      <x:c r="A15" s="55" t="n">
        <x:v>11</x:v>
      </x:c>
      <x:c r="B15" s="56" t="n">
        <x:v>46101</x:v>
      </x:c>
      <x:c r="C15" s="61" t="str">
        <x:v>서계동 246-7</x:v>
      </x:c>
      <x:c r="D15" s="61" t="str">
        <x:v>(246-7)</x:v>
      </x:c>
      <x:c r="E15" s="55" t="str">
        <x:v>다세대주택</x:v>
      </x:c>
      <x:c r="F15" s="57" t="n">
        <x:v>110000</x:v>
      </x:c>
      <x:c r="G15" s="58" t="n">
        <x:f>IFERROR(F15/10000,"")</x:f>
        <x:v>11</x:v>
      </x:c>
      <x:c r="H15" s="55" t="str">
        <x:v>다세대</x:v>
      </x:c>
      <x:c r="I15" s="59" t="n">
        <x:v>22.36</x:v>
      </x:c>
      <x:c r="J15" s="59" t="n">
        <x:f>IFERROR(I15/3.3058,"")</x:f>
        <x:v>6.763869562586968</x:v>
      </x:c>
      <x:c r="K15" s="57" t="n">
        <x:f>IFERROR(F15/J15,"")</x:f>
        <x:v>16262.880143112703</x:v>
      </x:c>
      <x:c r="L15" s="59" t="n">
        <x:v>57.24</x:v>
      </x:c>
      <x:c r="M15" s="57" t="n">
        <x:f>IFERROR(F15/(L15/3.3),"")</x:f>
        <x:v>6341.719077568134</x:v>
      </x:c>
      <x:c r="N15" s="55" t="str">
        <x:v>2</x:v>
      </x:c>
      <x:c r="O15" s="57" t="n">
        <x:v>31900</x:v>
      </x:c>
      <x:c r="P15" s="60" t="n">
        <x:f>IFERROR(F15/O15-1,"")</x:f>
        <x:v>2.4482758620689653</x:v>
      </x:c>
      <x:c r="Q15" s="55" t="n">
        <x:v>1997</x:v>
      </x:c>
      <x:c r="R15" s="55" t="str">
        <x:v>비지하</x:v>
      </x:c>
      <x:c r="S15" s="55" t="str">
        <x:v>중개거래</x:v>
      </x:c>
      <x:c r="T15" s="55" t="str">
        <x:v>서울 용산구</x:v>
      </x:c>
      <x:c r="U15" s="55" t="n">
        <x:v>25444627</x:v>
      </x:c>
      <x:c r="V15" s="55" t="str">
        <x:v>활성</x:v>
      </x:c>
    </x:row>
    <x:row r="16">
      <x:c r="A16" s="55" t="n">
        <x:v>12</x:v>
      </x:c>
      <x:c r="B16" s="56" t="n">
        <x:v>46095</x:v>
      </x:c>
      <x:c r="C16" s="61" t="str">
        <x:v>서계동 251-1</x:v>
      </x:c>
      <x:c r="D16" s="61" t="str">
        <x:v>(251-1)</x:v>
      </x:c>
      <x:c r="E16" s="55" t="str">
        <x:v>다세대주택</x:v>
      </x:c>
      <x:c r="F16" s="57" t="n">
        <x:v>96700</x:v>
      </x:c>
      <x:c r="G16" s="58" t="n">
        <x:f>IFERROR(F16/10000,"")</x:f>
        <x:v>9.67</x:v>
      </x:c>
      <x:c r="H16" s="55" t="str">
        <x:v>다세대</x:v>
      </x:c>
      <x:c r="I16" s="59" t="n">
        <x:v>22.62</x:v>
      </x:c>
      <x:c r="J16" s="59" t="n">
        <x:f>IFERROR(I16/3.3058,"")</x:f>
        <x:v>6.842519208663561</x:v>
      </x:c>
      <x:c r="K16" s="57" t="n">
        <x:f>IFERROR(F16/J16,"")</x:f>
        <x:v>14132.221927497789</x:v>
      </x:c>
      <x:c r="L16" s="59" t="n">
        <x:v>55.14</x:v>
      </x:c>
      <x:c r="M16" s="57" t="n">
        <x:f>IFERROR(F16/(L16/3.3),"")</x:f>
        <x:v>5787.268770402611</x:v>
      </x:c>
      <x:c r="N16" s="55" t="str">
        <x:v>2</x:v>
      </x:c>
      <x:c r="O16" s="57" t="n">
        <x:v>36400</x:v>
      </x:c>
      <x:c r="P16" s="60" t="n">
        <x:f>IFERROR(F16/O16-1,"")</x:f>
        <x:v>1.6565934065934065</x:v>
      </x:c>
      <x:c r="Q16" s="55" t="n">
        <x:v>1996</x:v>
      </x:c>
      <x:c r="R16" s="55" t="str">
        <x:v>비지하</x:v>
      </x:c>
      <x:c r="S16" s="55" t="str">
        <x:v>중개거래</x:v>
      </x:c>
      <x:c r="T16" s="55" t="str">
        <x:v>서울 용산구</x:v>
      </x:c>
      <x:c r="U16" s="55" t="n">
        <x:v>25444589</x:v>
      </x:c>
      <x:c r="V16" s="55" t="str">
        <x:v>활성</x:v>
      </x:c>
    </x:row>
    <x:row r="17">
      <x:c r="A17" s="55" t="n">
        <x:v>13</x:v>
      </x:c>
      <x:c r="B17" s="56" t="n">
        <x:v>46079</x:v>
      </x:c>
      <x:c r="C17" s="61" t="str">
        <x:v>서계동 252-56</x:v>
      </x:c>
      <x:c r="D17" s="61" t="str">
        <x:v>(252-56)</x:v>
      </x:c>
      <x:c r="E17" s="55" t="str">
        <x:v>다세대주택</x:v>
      </x:c>
      <x:c r="F17" s="57" t="n">
        <x:v>79000</x:v>
      </x:c>
      <x:c r="G17" s="58" t="n">
        <x:f>IFERROR(F17/10000,"")</x:f>
        <x:v>7.9</x:v>
      </x:c>
      <x:c r="H17" s="55" t="str">
        <x:v>다세대</x:v>
      </x:c>
      <x:c r="I17" s="59" t="n">
        <x:v>18.675</x:v>
      </x:c>
      <x:c r="J17" s="59" t="n">
        <x:f>IFERROR(I17/3.3058,"")</x:f>
        <x:v>5.649162078770646</x:v>
      </x:c>
      <x:c r="K17" s="57" t="n">
        <x:f>IFERROR(F17/J17,"")</x:f>
        <x:v>13984.374832663989</x:v>
      </x:c>
      <x:c r="L17" s="59" t="n">
        <x:v>36.34</x:v>
      </x:c>
      <x:c r="M17" s="57" t="n">
        <x:f>IFERROR(F17/(L17/3.3),"")</x:f>
        <x:v>7173.91304347826</x:v>
      </x:c>
      <x:c r="N17" s="55" t="str">
        <x:v>2</x:v>
      </x:c>
      <x:c r="O17" s="57" t="n">
        <x:v>27200</x:v>
      </x:c>
      <x:c r="P17" s="60" t="n">
        <x:f>IFERROR(F17/O17-1,"")</x:f>
        <x:v>1.9044117647058822</x:v>
      </x:c>
      <x:c r="Q17" s="55" t="n">
        <x:v>1996</x:v>
      </x:c>
      <x:c r="R17" s="55" t="str">
        <x:v>비지하</x:v>
      </x:c>
      <x:c r="S17" s="55" t="str">
        <x:v>중개거래</x:v>
      </x:c>
      <x:c r="T17" s="55" t="str">
        <x:v>서울 용산구</x:v>
      </x:c>
      <x:c r="U17" s="55" t="n">
        <x:v>25527696</x:v>
      </x:c>
      <x:c r="V17" s="55" t="str">
        <x:v>활성</x:v>
      </x:c>
    </x:row>
    <x:row r="18">
      <x:c r="A18" s="55" t="n">
        <x:v>14</x:v>
      </x:c>
      <x:c r="B18" s="56" t="n">
        <x:v>46076</x:v>
      </x:c>
      <x:c r="C18" s="61" t="str">
        <x:v>서계동 258-10</x:v>
      </x:c>
      <x:c r="D18" s="61" t="str">
        <x:v>(258-10)</x:v>
      </x:c>
      <x:c r="E18" s="55" t="str">
        <x:v>다세대주택</x:v>
      </x:c>
      <x:c r="F18" s="57" t="n">
        <x:v>105000</x:v>
      </x:c>
      <x:c r="G18" s="58" t="n">
        <x:f>IFERROR(F18/10000,"")</x:f>
        <x:v>10.5</x:v>
      </x:c>
      <x:c r="H18" s="55" t="str">
        <x:v>다세대</x:v>
      </x:c>
      <x:c r="I18" s="59" t="n">
        <x:v>19.82</x:v>
      </x:c>
      <x:c r="J18" s="59" t="n">
        <x:f>IFERROR(I18/3.3058,"")</x:f>
        <x:v>5.995523020146409</x:v>
      </x:c>
      <x:c r="K18" s="57" t="n">
        <x:f>IFERROR(F18/J18,"")</x:f>
        <x:v>17513.067608476285</x:v>
      </x:c>
      <x:c r="L18" s="59" t="n">
        <x:v>50.55</x:v>
      </x:c>
      <x:c r="M18" s="57" t="n">
        <x:f>IFERROR(F18/(L18/3.3),"")</x:f>
        <x:v>6854.59940652819</x:v>
      </x:c>
      <x:c r="N18" s="55" t="str">
        <x:v>4</x:v>
      </x:c>
      <x:c r="O18" s="57" t="n">
        <x:v>33600</x:v>
      </x:c>
      <x:c r="P18" s="60" t="n">
        <x:f>IFERROR(F18/O18-1,"")</x:f>
        <x:v>2.125</x:v>
      </x:c>
      <x:c r="Q18" s="55" t="n">
        <x:v>1997</x:v>
      </x:c>
      <x:c r="R18" s="55" t="str">
        <x:v>비지하</x:v>
      </x:c>
      <x:c r="S18" s="55" t="str">
        <x:v>중개거래</x:v>
      </x:c>
      <x:c r="T18" s="55" t="str">
        <x:v>서울 용산구</x:v>
      </x:c>
      <x:c r="U18" s="55" t="n">
        <x:v>25527676</x:v>
      </x:c>
      <x:c r="V18" s="55" t="str">
        <x:v>활성</x:v>
      </x:c>
    </x:row>
    <x:row r="19">
      <x:c r="A19" s="55" t="n">
        <x:v>15</x:v>
      </x:c>
      <x:c r="B19" s="56" t="n">
        <x:v>46072</x:v>
      </x:c>
      <x:c r="C19" s="61" t="str">
        <x:v>청파동1가 1-80</x:v>
      </x:c>
      <x:c r="D19" s="61" t="str">
        <x:v>청파블루빌</x:v>
      </x:c>
      <x:c r="E19" s="55" t="str">
        <x:v>다세대주택</x:v>
      </x:c>
      <x:c r="F19" s="57" t="n">
        <x:v>115000</x:v>
      </x:c>
      <x:c r="G19" s="58" t="n">
        <x:f>IFERROR(F19/10000,"")</x:f>
        <x:v>11.5</x:v>
      </x:c>
      <x:c r="H19" s="55" t="str">
        <x:v>다세대</x:v>
      </x:c>
      <x:c r="I19" s="59" t="n">
        <x:v>31.39</x:v>
      </x:c>
      <x:c r="J19" s="59" t="n">
        <x:f>IFERROR(I19/3.3058,"")</x:f>
        <x:v>9.495432270554783</x:v>
      </x:c>
      <x:c r="K19" s="57" t="n">
        <x:f>IFERROR(F19/J19,"")</x:f>
        <x:v>12111.086333227142</x:v>
      </x:c>
      <x:c r="L19" s="59" t="n">
        <x:v>52.19</x:v>
      </x:c>
      <x:c r="M19" s="57" t="n">
        <x:f>IFERROR(F19/(L19/3.3),"")</x:f>
        <x:v>7271.507951714888</x:v>
      </x:c>
      <x:c r="N19" s="55" t="str">
        <x:v>3</x:v>
      </x:c>
      <x:c r="O19" s="57" t="n">
        <x:v>52100</x:v>
      </x:c>
      <x:c r="P19" s="60" t="n">
        <x:f>IFERROR(F19/O19-1,"")</x:f>
        <x:v>1.2072936660268714</x:v>
      </x:c>
      <x:c r="Q19" s="55" t="n">
        <x:v>2008</x:v>
      </x:c>
      <x:c r="R19" s="55" t="str">
        <x:v>비지하</x:v>
      </x:c>
      <x:c r="S19" s="55" t="str">
        <x:v>중개거래</x:v>
      </x:c>
      <x:c r="T19" s="55" t="str">
        <x:v>서울 용산구</x:v>
      </x:c>
      <x:c r="U19" s="55" t="n">
        <x:v>25527712</x:v>
      </x:c>
      <x:c r="V19" s="55" t="str">
        <x:v>활성</x:v>
      </x:c>
    </x:row>
    <x:row r="20">
      <x:c r="A20" s="55" t="n">
        <x:v>16</x:v>
      </x:c>
      <x:c r="B20" s="56" t="n">
        <x:v>46064</x:v>
      </x:c>
      <x:c r="C20" s="61" t="str">
        <x:v>서계동 261-6</x:v>
      </x:c>
      <x:c r="D20" s="61" t="str">
        <x:v>하이츠빌라B동(261-6)</x:v>
      </x:c>
      <x:c r="E20" s="55" t="str">
        <x:v>다세대주택</x:v>
      </x:c>
      <x:c r="F20" s="57" t="n">
        <x:v>112000</x:v>
      </x:c>
      <x:c r="G20" s="58" t="n">
        <x:f>IFERROR(F20/10000,"")</x:f>
        <x:v>11.2</x:v>
      </x:c>
      <x:c r="H20" s="55" t="str">
        <x:v>다세대</x:v>
      </x:c>
      <x:c r="I20" s="59" t="n">
        <x:v>26.45</x:v>
      </x:c>
      <x:c r="J20" s="59" t="n">
        <x:f>IFERROR(I20/3.3058,"")</x:f>
        <x:v>8.001088995099522</x:v>
      </x:c>
      <x:c r="K20" s="57" t="n">
        <x:f>IFERROR(F20/J20,"")</x:f>
        <x:v>13998.094517958412</x:v>
      </x:c>
      <x:c r="L20" s="59" t="n">
        <x:v>50.32</x:v>
      </x:c>
      <x:c r="M20" s="57" t="n">
        <x:f>IFERROR(F20/(L20/3.3),"")</x:f>
        <x:v>7344.9920508744035</x:v>
      </x:c>
      <x:c r="N20" s="55" t="str">
        <x:v>2</x:v>
      </x:c>
      <x:c r="O20" s="57" t="n">
        <x:v>46100</x:v>
      </x:c>
      <x:c r="P20" s="60" t="n">
        <x:f>IFERROR(F20/O20-1,"")</x:f>
        <x:v>1.4295010845986984</x:v>
      </x:c>
      <x:c r="Q20" s="55" t="n">
        <x:v>2009</x:v>
      </x:c>
      <x:c r="R20" s="55" t="str">
        <x:v>비지하</x:v>
      </x:c>
      <x:c r="S20" s="55" t="str">
        <x:v>중개거래</x:v>
      </x:c>
      <x:c r="T20" s="55" t="str">
        <x:v>서울 용산구</x:v>
      </x:c>
      <x:c r="U20" s="55" t="n">
        <x:v>25527692</x:v>
      </x:c>
      <x:c r="V20" s="55" t="str">
        <x:v>활성</x:v>
      </x:c>
    </x:row>
    <x:row r="21">
      <x:c r="A21" s="55" t="n">
        <x:v>17</x:v>
      </x:c>
      <x:c r="B21" s="56" t="n">
        <x:v>46053</x:v>
      </x:c>
      <x:c r="C21" s="61" t="str">
        <x:v>서계동 96-6</x:v>
      </x:c>
      <x:c r="D21" s="61" t="str">
        <x:v>(96-6)</x:v>
      </x:c>
      <x:c r="E21" s="55" t="str">
        <x:v>다세대주택</x:v>
      </x:c>
      <x:c r="F21" s="57" t="n">
        <x:v>98000</x:v>
      </x:c>
      <x:c r="G21" s="58" t="n">
        <x:f>IFERROR(F21/10000,"")</x:f>
        <x:v>9.8</x:v>
      </x:c>
      <x:c r="H21" s="55" t="str">
        <x:v>다세대</x:v>
      </x:c>
      <x:c r="I21" s="59" t="n">
        <x:v>29.87</x:v>
      </x:c>
      <x:c r="J21" s="59" t="n">
        <x:f>IFERROR(I21/3.3058,"")</x:f>
        <x:v>9.035634339645473</x:v>
      </x:c>
      <x:c r="K21" s="57" t="n">
        <x:f>IFERROR(F21/J21,"")</x:f>
        <x:v>10845.945764981585</x:v>
      </x:c>
      <x:c r="L21" s="59" t="n">
        <x:v>39.6</x:v>
      </x:c>
      <x:c r="M21" s="57" t="n">
        <x:f>IFERROR(F21/(L21/3.3),"")</x:f>
        <x:v>8166.666666666665</x:v>
      </x:c>
      <x:c r="N21" s="55" t="str">
        <x:v>2</x:v>
      </x:c>
      <x:c r="O21" s="57" t="n">
        <x:v>48100</x:v>
      </x:c>
      <x:c r="P21" s="60" t="n">
        <x:f>IFERROR(F21/O21-1,"")</x:f>
        <x:v>1.0374220374220373</x:v>
      </x:c>
      <x:c r="Q21" s="55" t="n">
        <x:v>1987</x:v>
      </x:c>
      <x:c r="R21" s="55" t="str">
        <x:v>비지하</x:v>
      </x:c>
      <x:c r="S21" s="55" t="str">
        <x:v>중개거래</x:v>
      </x:c>
      <x:c r="T21" s="55" t="str">
        <x:v>서울 용산구</x:v>
      </x:c>
      <x:c r="U21" s="55" t="n">
        <x:v>25523954</x:v>
      </x:c>
      <x:c r="V21" s="55" t="str">
        <x:v>활성</x:v>
      </x:c>
    </x:row>
    <x:row r="22">
      <x:c r="A22" s="55" t="n">
        <x:v>18</x:v>
      </x:c>
      <x:c r="B22" s="56" t="n">
        <x:v>46032</x:v>
      </x:c>
      <x:c r="C22" s="61" t="str">
        <x:v>청파동1가 1-80</x:v>
      </x:c>
      <x:c r="D22" s="61" t="str">
        <x:v>청파블루빌</x:v>
      </x:c>
      <x:c r="E22" s="55" t="str">
        <x:v>다세대주택</x:v>
      </x:c>
      <x:c r="F22" s="57" t="n">
        <x:v>103000</x:v>
      </x:c>
      <x:c r="G22" s="58" t="n">
        <x:f>IFERROR(F22/10000,"")</x:f>
        <x:v>10.3</x:v>
      </x:c>
      <x:c r="H22" s="55" t="str">
        <x:v>다세대</x:v>
      </x:c>
      <x:c r="I22" s="59" t="n">
        <x:v>31.39</x:v>
      </x:c>
      <x:c r="J22" s="59" t="n">
        <x:f>IFERROR(I22/3.3058,"")</x:f>
        <x:v>9.495432270554783</x:v>
      </x:c>
      <x:c r="K22" s="57" t="n">
        <x:f>IFERROR(F22/J22,"")</x:f>
        <x:v>10847.32080280344</x:v>
      </x:c>
      <x:c r="L22" s="59" t="n">
        <x:v>52.19</x:v>
      </x:c>
      <x:c r="M22" s="57" t="n">
        <x:f>IFERROR(F22/(L22/3.3),"")</x:f>
        <x:v>6512.741904579421</x:v>
      </x:c>
      <x:c r="N22" s="55" t="str">
        <x:v>1</x:v>
      </x:c>
      <x:c r="O22" s="57" t="n">
        <x:v>53300</x:v>
      </x:c>
      <x:c r="P22" s="60" t="n">
        <x:f>IFERROR(F22/O22-1,"")</x:f>
        <x:v>0.9324577861163228</x:v>
      </x:c>
      <x:c r="Q22" s="55" t="n">
        <x:v>2008</x:v>
      </x:c>
      <x:c r="R22" s="55" t="str">
        <x:v>비지하</x:v>
      </x:c>
      <x:c r="S22" s="55" t="str">
        <x:v>중개거래</x:v>
      </x:c>
      <x:c r="T22" s="55" t="str">
        <x:v>서울 용산구</x:v>
      </x:c>
      <x:c r="U22" s="55" t="n">
        <x:v>25523990</x:v>
      </x:c>
      <x:c r="V22" s="55" t="str">
        <x:v>활성</x:v>
      </x:c>
    </x:row>
    <x:row r="23">
      <x:c r="A23" s="55" t="n">
        <x:v>19</x:v>
      </x:c>
      <x:c r="B23" s="56" t="n">
        <x:v>46026</x:v>
      </x:c>
      <x:c r="C23" s="61" t="str">
        <x:v>서계동 240-30</x:v>
      </x:c>
      <x:c r="D23" s="61" t="str">
        <x:v>(240-30)</x:v>
      </x:c>
      <x:c r="E23" s="55" t="str">
        <x:v>다세대주택</x:v>
      </x:c>
      <x:c r="F23" s="57" t="n">
        <x:v>76500</x:v>
      </x:c>
      <x:c r="G23" s="58" t="n">
        <x:f>IFERROR(F23/10000,"")</x:f>
        <x:v>7.65</x:v>
      </x:c>
      <x:c r="H23" s="55" t="str">
        <x:v>다세대</x:v>
      </x:c>
      <x:c r="I23" s="59" t="n">
        <x:v>16.04</x:v>
      </x:c>
      <x:c r="J23" s="59" t="n">
        <x:f>IFERROR(I23/3.3058,"")</x:f>
        <x:v>4.852078165648254</x:v>
      </x:c>
      <x:c r="K23" s="57" t="n">
        <x:f>IFERROR(F23/J23,"")</x:f>
        <x:v>15766.440149625938</x:v>
      </x:c>
      <x:c r="L23" s="59" t="n">
        <x:v>49.52</x:v>
      </x:c>
      <x:c r="M23" s="57" t="n">
        <x:f>IFERROR(F23/(L23/3.3),"")</x:f>
        <x:v>5097.940226171243</x:v>
      </x:c>
      <x:c r="N23" s="55" t="str">
        <x:v>1</x:v>
      </x:c>
      <x:c r="O23" s="57" t="n">
        <x:v>28700</x:v>
      </x:c>
      <x:c r="P23" s="60" t="n">
        <x:f>IFERROR(F23/O23-1,"")</x:f>
        <x:v>1.6655052264808363</x:v>
      </x:c>
      <x:c r="Q23" s="55" t="n">
        <x:v>1998</x:v>
      </x:c>
      <x:c r="R23" s="55" t="str">
        <x:v>비지하</x:v>
      </x:c>
      <x:c r="S23" s="55" t="str">
        <x:v>중개거래</x:v>
      </x:c>
      <x:c r="T23" s="55" t="str">
        <x:v>서울 용산구</x:v>
      </x:c>
      <x:c r="U23" s="55" t="n">
        <x:v>25523997</x:v>
      </x:c>
      <x:c r="V23" s="55" t="str">
        <x:v>활성</x:v>
      </x:c>
    </x:row>
    <x:row r="24">
      <x:c r="A24" s="55" t="n">
        <x:v>20</x:v>
      </x:c>
      <x:c r="B24" s="56" t="n">
        <x:v>46013</x:v>
      </x:c>
      <x:c r="C24" s="61" t="str">
        <x:v>서계동 245-28</x:v>
      </x:c>
      <x:c r="D24" s="61" t="str">
        <x:v>(245-28)</x:v>
      </x:c>
      <x:c r="E24" s="55" t="str">
        <x:v>다세대주택</x:v>
      </x:c>
      <x:c r="F24" s="57" t="n">
        <x:v>86000</x:v>
      </x:c>
      <x:c r="G24" s="58" t="n">
        <x:f>IFERROR(F24/10000,"")</x:f>
        <x:v>8.6</x:v>
      </x:c>
      <x:c r="H24" s="55" t="str">
        <x:v>다세대</x:v>
      </x:c>
      <x:c r="I24" s="59" t="n">
        <x:v>18.65</x:v>
      </x:c>
      <x:c r="J24" s="59" t="n">
        <x:f>IFERROR(I24/3.3058,"")</x:f>
        <x:v>5.641599612801742</x:v>
      </x:c>
      <x:c r="K24" s="57" t="n">
        <x:f>IFERROR(F24/J24,"")</x:f>
        <x:v>15243.903485254692</x:v>
      </x:c>
      <x:c r="L24" s="59" t="n">
        <x:v>42.62</x:v>
      </x:c>
      <x:c r="M24" s="57" t="n">
        <x:f>IFERROR(F24/(L24/3.3),"")</x:f>
        <x:v>6658.84561238855</x:v>
      </x:c>
      <x:c r="N24" s="55" t="str">
        <x:v>1</x:v>
      </x:c>
      <x:c r="O24" s="57" t="n">
        <x:v>29300</x:v>
      </x:c>
      <x:c r="P24" s="60" t="n">
        <x:f>IFERROR(F24/O24-1,"")</x:f>
        <x:v>1.9351535836177476</x:v>
      </x:c>
      <x:c r="Q24" s="55" t="n">
        <x:v>1999</x:v>
      </x:c>
      <x:c r="R24" s="55" t="str">
        <x:v>비지하</x:v>
      </x:c>
      <x:c r="S24" s="55" t="str">
        <x:v>중개거래</x:v>
      </x:c>
      <x:c r="T24" s="55" t="str">
        <x:v>서울 용산구, 서울 중구</x:v>
      </x:c>
      <x:c r="U24" s="55" t="n">
        <x:v>25530753</x:v>
      </x:c>
      <x:c r="V24" s="55" t="str">
        <x:v>활성</x:v>
      </x:c>
    </x:row>
    <x:row r="25">
      <x:c r="A25" s="55" t="n">
        <x:v>21</x:v>
      </x:c>
      <x:c r="B25" s="56" t="n">
        <x:v>45992</x:v>
      </x:c>
      <x:c r="C25" s="61" t="str">
        <x:v>청파동1가 1-80</x:v>
      </x:c>
      <x:c r="D25" s="61" t="str">
        <x:v>청파블루빌</x:v>
      </x:c>
      <x:c r="E25" s="55" t="str">
        <x:v>다세대주택</x:v>
      </x:c>
      <x:c r="F25" s="57" t="n">
        <x:v>101000</x:v>
      </x:c>
      <x:c r="G25" s="58" t="n">
        <x:f>IFERROR(F25/10000,"")</x:f>
        <x:v>10.1</x:v>
      </x:c>
      <x:c r="H25" s="55" t="str">
        <x:v>다세대</x:v>
      </x:c>
      <x:c r="I25" s="59" t="n">
        <x:v>31.39</x:v>
      </x:c>
      <x:c r="J25" s="59" t="n">
        <x:f>IFERROR(I25/3.3058,"")</x:f>
        <x:v>9.495432270554783</x:v>
      </x:c>
      <x:c r="K25" s="57" t="n">
        <x:f>IFERROR(F25/J25,"")</x:f>
        <x:v>10636.693214399489</x:v>
      </x:c>
      <x:c r="L25" s="59" t="n">
        <x:v>52.19</x:v>
      </x:c>
      <x:c r="M25" s="57" t="n">
        <x:f>IFERROR(F25/(L25/3.3),"")</x:f>
        <x:v>6386.2808967235105</x:v>
      </x:c>
      <x:c r="N25" s="55" t="str">
        <x:v>2</x:v>
      </x:c>
      <x:c r="O25" s="57" t="n">
        <x:v>54300</x:v>
      </x:c>
      <x:c r="P25" s="60" t="n">
        <x:f>IFERROR(F25/O25-1,"")</x:f>
        <x:v>0.8600368324125229</x:v>
      </x:c>
      <x:c r="Q25" s="55" t="n">
        <x:v>2008</x:v>
      </x:c>
      <x:c r="R25" s="55" t="str">
        <x:v>비지하</x:v>
      </x:c>
      <x:c r="S25" s="55" t="str">
        <x:v>중개거래</x:v>
      </x:c>
      <x:c r="T25" s="55" t="str">
        <x:v>서울 용산구</x:v>
      </x:c>
      <x:c r="U25" s="55" t="n">
        <x:v>25530798</x:v>
      </x:c>
      <x:c r="V25" s="55" t="str">
        <x:v>활성</x:v>
      </x:c>
    </x:row>
    <x:row r="26">
      <x:c r="A26" s="55" t="n">
        <x:v>22</x:v>
      </x:c>
      <x:c r="B26" s="56" t="n">
        <x:v>45971</x:v>
      </x:c>
      <x:c r="C26" s="61" t="str">
        <x:v>서계동 251-11</x:v>
      </x:c>
      <x:c r="D26" s="61" t="str">
        <x:v>(251-11)</x:v>
      </x:c>
      <x:c r="E26" s="55" t="str">
        <x:v>다세대주택</x:v>
      </x:c>
      <x:c r="F26" s="57" t="n">
        <x:v>35000</x:v>
      </x:c>
      <x:c r="G26" s="58" t="n">
        <x:f>IFERROR(F26/10000,"")</x:f>
        <x:v>3.5</x:v>
      </x:c>
      <x:c r="H26" s="55" t="str">
        <x:v>다세대</x:v>
      </x:c>
      <x:c r="I26" s="59" t="n">
        <x:v>17</x:v>
      </x:c>
      <x:c r="J26" s="59" t="n">
        <x:f>IFERROR(I26/3.3058,"")</x:f>
        <x:v>5.142476858854135</x:v>
      </x:c>
      <x:c r="K26" s="57" t="n">
        <x:f>IFERROR(F26/J26,"")</x:f>
        <x:v>6806.058823529413</x:v>
      </x:c>
      <x:c r="L26" s="59" t="n">
        <x:v>32.86</x:v>
      </x:c>
      <x:c r="M26" s="57" t="n">
        <x:f>IFERROR(F26/(L26/3.3),"")</x:f>
        <x:v>3514.9117468046256</x:v>
      </x:c>
      <x:c r="N26" s="55" t="str">
        <x:v>1</x:v>
      </x:c>
      <x:c r="O26" s="57" t="n">
        <x:v>29000</x:v>
      </x:c>
      <x:c r="P26" s="60" t="n">
        <x:f>IFERROR(F26/O26-1,"")</x:f>
        <x:v>0.2068965517241379</x:v>
      </x:c>
      <x:c r="Q26" s="55" t="n">
        <x:v>1996</x:v>
      </x:c>
      <x:c r="R26" s="55" t="str">
        <x:v>비지하</x:v>
      </x:c>
      <x:c r="S26" s="55" t="str">
        <x:v>중개거래</x:v>
      </x:c>
      <x:c r="T26" s="55" t="str">
        <x:v>서울 용산구</x:v>
      </x:c>
      <x:c r="U26" s="55" t="n">
        <x:v>25533815</x:v>
      </x:c>
      <x:c r="V26" s="55" t="str">
        <x:v>활성</x:v>
      </x:c>
    </x:row>
    <x:row r="27">
      <x:c r="A27" s="55" t="n">
        <x:v>23</x:v>
      </x:c>
      <x:c r="B27" s="56" t="n">
        <x:v>45968</x:v>
      </x:c>
      <x:c r="C27" s="61" t="str">
        <x:v>서계동 251-54</x:v>
      </x:c>
      <x:c r="D27" s="61" t="str">
        <x:v>(251-54)</x:v>
      </x:c>
      <x:c r="E27" s="55" t="str">
        <x:v>다세대주택</x:v>
      </x:c>
      <x:c r="F27" s="57" t="n">
        <x:v>96000</x:v>
      </x:c>
      <x:c r="G27" s="58" t="n">
        <x:f>IFERROR(F27/10000,"")</x:f>
        <x:v>9.6</x:v>
      </x:c>
      <x:c r="H27" s="55" t="str">
        <x:v>다세대</x:v>
      </x:c>
      <x:c r="I27" s="59" t="n">
        <x:v>26.45</x:v>
      </x:c>
      <x:c r="J27" s="59" t="n">
        <x:f>IFERROR(I27/3.3058,"")</x:f>
        <x:v>8.001088995099522</x:v>
      </x:c>
      <x:c r="K27" s="57" t="n">
        <x:f>IFERROR(F27/J27,"")</x:f>
        <x:v>11998.366729678639</x:v>
      </x:c>
      <x:c r="L27" s="59" t="n">
        <x:v>56.02</x:v>
      </x:c>
      <x:c r="M27" s="57" t="n">
        <x:f>IFERROR(F27/(L27/3.3),"")</x:f>
        <x:v>5655.123170296322</x:v>
      </x:c>
      <x:c r="N27" s="55" t="str">
        <x:v>2</x:v>
      </x:c>
      <x:c r="O27" s="57" t="n">
        <x:v>57000</x:v>
      </x:c>
      <x:c r="P27" s="60" t="n">
        <x:f>IFERROR(F27/O27-1,"")</x:f>
        <x:v>0.6842105263157894</x:v>
      </x:c>
      <x:c r="Q27" s="55" t="n">
        <x:v>2009</x:v>
      </x:c>
      <x:c r="R27" s="55" t="str">
        <x:v>비지하</x:v>
      </x:c>
      <x:c r="S27" s="55" t="str">
        <x:v>중개거래</x:v>
      </x:c>
      <x:c r="T27" s="55" t="str">
        <x:v>서울 마포구, 서울 용산구</x:v>
      </x:c>
      <x:c r="U27" s="55" t="n">
        <x:v>25533812</x:v>
      </x:c>
      <x:c r="V27" s="55" t="str">
        <x:v>활성</x:v>
      </x:c>
    </x:row>
    <x:row r="28">
      <x:c r="A28" s="55" t="n">
        <x:v>24</x:v>
      </x:c>
      <x:c r="B28" s="56" t="n">
        <x:v>45968</x:v>
      </x:c>
      <x:c r="C28" s="61" t="str">
        <x:v>청파동1가 1-16</x:v>
      </x:c>
      <x:c r="D28" s="61" t="str">
        <x:v>가보주택</x:v>
      </x:c>
      <x:c r="E28" s="55" t="str">
        <x:v>다세대주택</x:v>
      </x:c>
      <x:c r="F28" s="57" t="n">
        <x:v>53000</x:v>
      </x:c>
      <x:c r="G28" s="58" t="n">
        <x:f>IFERROR(F28/10000,"")</x:f>
        <x:v>5.3</x:v>
      </x:c>
      <x:c r="H28" s="55" t="str">
        <x:v>다세대</x:v>
      </x:c>
      <x:c r="I28" s="59" t="n">
        <x:v>15.873</x:v>
      </x:c>
      <x:c r="J28" s="59" t="n">
        <x:f>IFERROR(I28/3.3058,"")</x:f>
        <x:v>4.801560892975981</x:v>
      </x:c>
      <x:c r="K28" s="57" t="n">
        <x:f>IFERROR(F28/J28,"")</x:f>
        <x:v>11038.077238077238</x:v>
      </x:c>
      <x:c r="L28" s="59" t="n">
        <x:v>31.36</x:v>
      </x:c>
      <x:c r="M28" s="57" t="n">
        <x:f>IFERROR(F28/(L28/3.3),"")</x:f>
        <x:v>5577.168367346938</x:v>
      </x:c>
      <x:c r="N28" s="55" t="str">
        <x:v>2</x:v>
      </x:c>
      <x:c r="O28" s="57" t="n">
        <x:v>24900</x:v>
      </x:c>
      <x:c r="P28" s="60" t="n">
        <x:f>IFERROR(F28/O28-1,"")</x:f>
        <x:v>1.1285140562248994</x:v>
      </x:c>
      <x:c r="Q28" s="55" t="n">
        <x:v>1997</x:v>
      </x:c>
      <x:c r="R28" s="55" t="str">
        <x:v>비지하</x:v>
      </x:c>
      <x:c r="S28" s="55" t="str">
        <x:v>중개거래</x:v>
      </x:c>
      <x:c r="T28" s="55" t="str">
        <x:v>서울 용산구</x:v>
      </x:c>
      <x:c r="U28" s="55" t="n">
        <x:v>25533743</x:v>
      </x:c>
      <x:c r="V28" s="55" t="str">
        <x:v>활성</x:v>
      </x:c>
    </x:row>
    <x:row r="29">
      <x:c r="A29" s="55" t="n">
        <x:v>25</x:v>
      </x:c>
      <x:c r="B29" s="56" t="n">
        <x:v>45962</x:v>
      </x:c>
      <x:c r="C29" s="61" t="str">
        <x:v>서계동 96-12</x:v>
      </x:c>
      <x:c r="D29" s="61" t="str">
        <x:v>엘림빌라</x:v>
      </x:c>
      <x:c r="E29" s="55" t="str">
        <x:v>다세대주택</x:v>
      </x:c>
      <x:c r="F29" s="57" t="n">
        <x:v>111000</x:v>
      </x:c>
      <x:c r="G29" s="58" t="n">
        <x:f>IFERROR(F29/10000,"")</x:f>
        <x:v>11.1</x:v>
      </x:c>
      <x:c r="H29" s="55" t="str">
        <x:v>다세대</x:v>
      </x:c>
      <x:c r="I29" s="59" t="n">
        <x:v>47.1</x:v>
      </x:c>
      <x:c r="J29" s="59" t="n">
        <x:f>IFERROR(I29/3.3058,"")</x:f>
        <x:v>14.247685885413516</x:v>
      </x:c>
      <x:c r="K29" s="57" t="n">
        <x:f>IFERROR(F29/J29,"")</x:f>
        <x:v>7790.738853503185</x:v>
      </x:c>
      <x:c r="L29" s="59" t="n">
        <x:v>69.03</x:v>
      </x:c>
      <x:c r="M29" s="57" t="n">
        <x:f>IFERROR(F29/(L29/3.3),"")</x:f>
        <x:v>5306.38852672751</x:v>
      </x:c>
      <x:c r="N29" s="55" t="str">
        <x:v>1</x:v>
      </x:c>
      <x:c r="O29" s="57" t="n">
        <x:v>73300</x:v>
      </x:c>
      <x:c r="P29" s="60" t="n">
        <x:f>IFERROR(F29/O29-1,"")</x:f>
        <x:v>0.514324693042292</x:v>
      </x:c>
      <x:c r="Q29" s="55" t="n">
        <x:v>1990</x:v>
      </x:c>
      <x:c r="R29" s="55" t="str">
        <x:v>비지하</x:v>
      </x:c>
      <x:c r="S29" s="55" t="str">
        <x:v>중개거래</x:v>
      </x:c>
      <x:c r="T29" s="55" t="str">
        <x:v>서울 용산구</x:v>
      </x:c>
      <x:c r="U29" s="55" t="n">
        <x:v>25533821</x:v>
      </x:c>
      <x:c r="V29" s="55" t="str">
        <x:v>활성</x:v>
      </x:c>
    </x:row>
    <x:row r="30">
      <x:c r="A30" s="55" t="n">
        <x:v>26</x:v>
      </x:c>
      <x:c r="B30" s="56" t="n">
        <x:v>45952</x:v>
      </x:c>
      <x:c r="C30" s="61" t="str">
        <x:v>서계동 261-5</x:v>
      </x:c>
      <x:c r="D30" s="61" t="str">
        <x:v>(261-5)</x:v>
      </x:c>
      <x:c r="E30" s="55" t="str">
        <x:v>다세대주택</x:v>
      </x:c>
      <x:c r="F30" s="57" t="n">
        <x:v>94000</x:v>
      </x:c>
      <x:c r="G30" s="58" t="n">
        <x:f>IFERROR(F30/10000,"")</x:f>
        <x:v>9.4</x:v>
      </x:c>
      <x:c r="H30" s="55" t="str">
        <x:v>다세대</x:v>
      </x:c>
      <x:c r="I30" s="59" t="n">
        <x:v>26.448</x:v>
      </x:c>
      <x:c r="J30" s="59" t="n">
        <x:f>IFERROR(I30/3.3058,"")</x:f>
        <x:v>8.000483997822009</x:v>
      </x:c>
      <x:c r="K30" s="57" t="n">
        <x:f>IFERROR(F30/J30,"")</x:f>
        <x:v>11749.289171203873</x:v>
      </x:c>
      <x:c r="L30" s="59" t="n">
        <x:v>54.12</x:v>
      </x:c>
      <x:c r="M30" s="57" t="n">
        <x:f>IFERROR(F30/(L30/3.3),"")</x:f>
        <x:v>5731.707317073171</x:v>
      </x:c>
      <x:c r="N30" s="55" t="str">
        <x:v>3</x:v>
      </x:c>
      <x:c r="O30" s="57" t="n">
        <x:v>49200</x:v>
      </x:c>
      <x:c r="P30" s="60" t="n">
        <x:f>IFERROR(F30/O30-1,"")</x:f>
        <x:v>0.910569105691057</x:v>
      </x:c>
      <x:c r="Q30" s="55" t="n">
        <x:v>2008</x:v>
      </x:c>
      <x:c r="R30" s="55" t="str">
        <x:v>비지하</x:v>
      </x:c>
      <x:c r="S30" s="55" t="str">
        <x:v>중개거래</x:v>
      </x:c>
      <x:c r="T30" s="55" t="str">
        <x:v>서울 용산구</x:v>
      </x:c>
      <x:c r="U30" s="55" t="n">
        <x:v>8516635</x:v>
      </x:c>
      <x:c r="V30" s="55" t="str">
        <x:v>활성</x:v>
      </x:c>
    </x:row>
    <x:row r="31">
      <x:c r="A31" s="55" t="n">
        <x:v>27</x:v>
      </x:c>
      <x:c r="B31" s="56" t="n">
        <x:v>45945</x:v>
      </x:c>
      <x:c r="C31" s="61" t="str">
        <x:v>청파동1가 1-16</x:v>
      </x:c>
      <x:c r="D31" s="61" t="str">
        <x:v>가보주택</x:v>
      </x:c>
      <x:c r="E31" s="55" t="str">
        <x:v>다세대주택</x:v>
      </x:c>
      <x:c r="F31" s="57" t="n">
        <x:v>49500</x:v>
      </x:c>
      <x:c r="G31" s="58" t="n">
        <x:f>IFERROR(F31/10000,"")</x:f>
        <x:v>4.95</x:v>
      </x:c>
      <x:c r="H31" s="55" t="str">
        <x:v>다세대</x:v>
      </x:c>
      <x:c r="I31" s="59" t="n">
        <x:v>15.873</x:v>
      </x:c>
      <x:c r="J31" s="59" t="n">
        <x:f>IFERROR(I31/3.3058,"")</x:f>
        <x:v>4.801560892975981</x:v>
      </x:c>
      <x:c r="K31" s="57" t="n">
        <x:f>IFERROR(F31/J31,"")</x:f>
        <x:v>10309.147609147609</x:v>
      </x:c>
      <x:c r="L31" s="59" t="n">
        <x:v>31.36</x:v>
      </x:c>
      <x:c r="M31" s="57" t="n">
        <x:f>IFERROR(F31/(L31/3.3),"")</x:f>
        <x:v>5208.864795918367</x:v>
      </x:c>
      <x:c r="N31" s="55" t="str">
        <x:v>3</x:v>
      </x:c>
      <x:c r="O31" s="57" t="n">
        <x:v>24900</x:v>
      </x:c>
      <x:c r="P31" s="60" t="n">
        <x:f>IFERROR(F31/O31-1,"")</x:f>
        <x:v>0.9879518072289157</x:v>
      </x:c>
      <x:c r="Q31" s="55" t="n">
        <x:v>1997</x:v>
      </x:c>
      <x:c r="R31" s="55" t="str">
        <x:v>비지하</x:v>
      </x:c>
      <x:c r="S31" s="55" t="str">
        <x:v>중개거래</x:v>
      </x:c>
      <x:c r="T31" s="55" t="str">
        <x:v>서울 용산구</x:v>
      </x:c>
      <x:c r="U31" s="55" t="n">
        <x:v>8516608</x:v>
      </x:c>
      <x:c r="V31" s="55" t="str">
        <x:v>활성</x:v>
      </x:c>
    </x:row>
    <x:row r="32">
      <x:c r="A32" s="55" t="n">
        <x:v>28</x:v>
      </x:c>
      <x:c r="B32" s="56" t="n">
        <x:v>45938</x:v>
      </x:c>
      <x:c r="C32" s="61" t="str">
        <x:v>서계동 33-32</x:v>
      </x:c>
      <x:c r="D32" s="61" t="str">
        <x:v>(33-32)</x:v>
      </x:c>
      <x:c r="E32" s="55" t="str">
        <x:v>다세대주택</x:v>
      </x:c>
      <x:c r="F32" s="57" t="n">
        <x:v>110000</x:v>
      </x:c>
      <x:c r="G32" s="58" t="n">
        <x:f>IFERROR(F32/10000,"")</x:f>
        <x:v>11</x:v>
      </x:c>
      <x:c r="H32" s="55" t="str">
        <x:v>다세대</x:v>
      </x:c>
      <x:c r="I32" s="59" t="n">
        <x:v>41.6767</x:v>
      </x:c>
      <x:c r="J32" s="59" t="n">
        <x:f>IFERROR(I32/3.3058,"")</x:f>
        <x:v>12.607145017847419</x:v>
      </x:c>
      <x:c r="K32" s="57" t="n">
        <x:f>IFERROR(F32/J32,"")</x:f>
        <x:v>8725.210969198617</x:v>
      </x:c>
      <x:c r="L32" s="59" t="n">
        <x:v>54.68</x:v>
      </x:c>
      <x:c r="M32" s="57" t="n">
        <x:f>IFERROR(F32/(L32/3.3),"")</x:f>
        <x:v>6638.624725676664</x:v>
      </x:c>
      <x:c r="N32" s="55" t="str">
        <x:v>2</x:v>
      </x:c>
      <x:c r="O32" s="57" t="n">
        <x:v>68000</x:v>
      </x:c>
      <x:c r="P32" s="60" t="n">
        <x:f>IFERROR(F32/O32-1,"")</x:f>
        <x:v>0.6176470588235294</x:v>
      </x:c>
      <x:c r="Q32" s="55" t="n">
        <x:v>1986</x:v>
      </x:c>
      <x:c r="R32" s="55" t="str">
        <x:v>비지하</x:v>
      </x:c>
      <x:c r="S32" s="55" t="str">
        <x:v>중개거래</x:v>
      </x:c>
      <x:c r="T32" s="55" t="str">
        <x:v>서울 용산구</x:v>
      </x:c>
      <x:c r="U32" s="55" t="n">
        <x:v>8516638</x:v>
      </x:c>
      <x:c r="V32" s="55" t="str">
        <x:v>활성</x:v>
      </x:c>
    </x:row>
    <x:row r="33">
      <x:c r="A33" s="55" t="n">
        <x:v>29</x:v>
      </x:c>
      <x:c r="B33" s="56" t="n">
        <x:v>45931</x:v>
      </x:c>
      <x:c r="C33" s="61" t="str">
        <x:v>서계동 261-17</x:v>
      </x:c>
      <x:c r="D33" s="61" t="str">
        <x:v>하이츠빌라A동(261-17)</x:v>
      </x:c>
      <x:c r="E33" s="55" t="str">
        <x:v>다세대주택</x:v>
      </x:c>
      <x:c r="F33" s="57" t="n">
        <x:v>81000</x:v>
      </x:c>
      <x:c r="G33" s="58" t="n">
        <x:f>IFERROR(F33/10000,"")</x:f>
        <x:v>8.1</x:v>
      </x:c>
      <x:c r="H33" s="55" t="str">
        <x:v>다세대</x:v>
      </x:c>
      <x:c r="I33" s="59" t="n">
        <x:v>26.45</x:v>
      </x:c>
      <x:c r="J33" s="59" t="n">
        <x:f>IFERROR(I33/3.3058,"")</x:f>
        <x:v>8.001088995099522</x:v>
      </x:c>
      <x:c r="K33" s="57" t="n">
        <x:f>IFERROR(F33/J33,"")</x:f>
        <x:v>10123.62192816635</x:v>
      </x:c>
      <x:c r="L33" s="59" t="n">
        <x:v>51.97</x:v>
      </x:c>
      <x:c r="M33" s="57" t="n">
        <x:f>IFERROR(F33/(L33/3.3),"")</x:f>
        <x:v>5143.351933807966</x:v>
      </x:c>
      <x:c r="N33" s="55" t="str">
        <x:v>2</x:v>
      </x:c>
      <x:c r="O33" s="57" t="n">
        <x:v>46800</x:v>
      </x:c>
      <x:c r="P33" s="60" t="n">
        <x:f>IFERROR(F33/O33-1,"")</x:f>
        <x:v>0.7307692307692308</x:v>
      </x:c>
      <x:c r="Q33" s="55" t="n">
        <x:v>2009</x:v>
      </x:c>
      <x:c r="R33" s="55" t="str">
        <x:v>비지하</x:v>
      </x:c>
      <x:c r="S33" s="55" t="str">
        <x:v>중개거래</x:v>
      </x:c>
      <x:c r="T33" s="55" t="str">
        <x:v>서울 용산구</x:v>
      </x:c>
      <x:c r="U33" s="55" t="n">
        <x:v>8516684</x:v>
      </x:c>
      <x:c r="V33" s="55" t="str">
        <x:v>활성</x:v>
      </x:c>
    </x:row>
    <x:row r="34">
      <x:c r="A34" s="55" t="n">
        <x:v>30</x:v>
      </x:c>
      <x:c r="B34" s="56" t="n">
        <x:v>45917</x:v>
      </x:c>
      <x:c r="C34" s="61" t="str">
        <x:v>청파동1가 1-2</x:v>
      </x:c>
      <x:c r="D34" s="61" t="str">
        <x:v>(1-2)</x:v>
      </x:c>
      <x:c r="E34" s="55" t="str">
        <x:v>다세대주택</x:v>
      </x:c>
      <x:c r="F34" s="57" t="n">
        <x:v>90000</x:v>
      </x:c>
      <x:c r="G34" s="58" t="n">
        <x:f>IFERROR(F34/10000,"")</x:f>
        <x:v>9</x:v>
      </x:c>
      <x:c r="H34" s="55" t="str">
        <x:v>다세대</x:v>
      </x:c>
      <x:c r="I34" s="59" t="n">
        <x:v>45.1505</x:v>
      </x:c>
      <x:c r="J34" s="59" t="n">
        <x:f>IFERROR(I34/3.3058,"")</x:f>
        <x:v>13.657964789158449</x:v>
      </x:c>
      <x:c r="K34" s="57" t="n">
        <x:f>IFERROR(F34/J34,"")</x:f>
        <x:v>6589.5615773911695</x:v>
      </x:c>
      <x:c r="L34" s="59" t="n">
        <x:v>54.36</x:v>
      </x:c>
      <x:c r="M34" s="57" t="n">
        <x:f>IFERROR(F34/(L34/3.3),"")</x:f>
        <x:v>5463.576158940397</x:v>
      </x:c>
      <x:c r="N34" s="55" t="str">
        <x:v>2</x:v>
      </x:c>
      <x:c r="O34" s="57" t="n">
        <x:v>50200</x:v>
      </x:c>
      <x:c r="P34" s="60" t="n">
        <x:f>IFERROR(F34/O34-1,"")</x:f>
        <x:v>0.7928286852589641</x:v>
      </x:c>
      <x:c r="Q34" s="55" t="n">
        <x:v>1987</x:v>
      </x:c>
      <x:c r="R34" s="55" t="str">
        <x:v>비지하</x:v>
      </x:c>
      <x:c r="S34" s="55" t="str">
        <x:v>중개거래</x:v>
      </x:c>
      <x:c r="T34" s="55" t="str">
        <x:v>서울 용산구</x:v>
      </x:c>
      <x:c r="U34" s="55" t="n">
        <x:v>8516538</x:v>
      </x:c>
      <x:c r="V34" s="55" t="str">
        <x:v>활성</x:v>
      </x:c>
    </x:row>
    <x:row r="35">
      <x:c r="A35" s="55" t="n">
        <x:v>31</x:v>
      </x:c>
      <x:c r="B35" s="56" t="n">
        <x:v>45896</x:v>
      </x:c>
      <x:c r="C35" s="61" t="str">
        <x:v>서계동 246-34</x:v>
      </x:c>
      <x:c r="D35" s="61" t="str">
        <x:v>(246-34)</x:v>
      </x:c>
      <x:c r="E35" s="55" t="str">
        <x:v>다세대주택</x:v>
      </x:c>
      <x:c r="F35" s="57" t="n">
        <x:v>80000</x:v>
      </x:c>
      <x:c r="G35" s="58" t="n">
        <x:f>IFERROR(F35/10000,"")</x:f>
        <x:v>8</x:v>
      </x:c>
      <x:c r="H35" s="55" t="str">
        <x:v>다세대</x:v>
      </x:c>
      <x:c r="I35" s="59" t="n">
        <x:v>21.125</x:v>
      </x:c>
      <x:c r="J35" s="59" t="n">
        <x:f>IFERROR(I35/3.3058,"")</x:f>
        <x:v>6.390283743723153</x:v>
      </x:c>
      <x:c r="K35" s="57" t="n">
        <x:f>IFERROR(F35/J35,"")</x:f>
        <x:v>12519.005917159762</x:v>
      </x:c>
      <x:c r="L35" s="59" t="n">
        <x:v>54.11</x:v>
      </x:c>
      <x:c r="M35" s="57" t="n">
        <x:f>IFERROR(F35/(L35/3.3),"")</x:f>
        <x:v>4878.95028645352</x:v>
      </x:c>
      <x:c r="N35" s="55" t="str">
        <x:v>2</x:v>
      </x:c>
      <x:c r="O35" s="57" t="n">
        <x:v>36200</x:v>
      </x:c>
      <x:c r="P35" s="60" t="n">
        <x:f>IFERROR(F35/O35-1,"")</x:f>
        <x:v>1.2099447513812156</x:v>
      </x:c>
      <x:c r="Q35" s="55" t="n">
        <x:v>1996</x:v>
      </x:c>
      <x:c r="R35" s="55" t="str">
        <x:v>비지하</x:v>
      </x:c>
      <x:c r="S35" s="55" t="str">
        <x:v>중개거래</x:v>
      </x:c>
      <x:c r="T35" s="55" t="str">
        <x:v>서울 용산구</x:v>
      </x:c>
      <x:c r="U35" s="55" t="n">
        <x:v>8516395</x:v>
      </x:c>
      <x:c r="V35" s="55" t="str">
        <x:v>활성</x:v>
      </x:c>
    </x:row>
    <x:row r="36">
      <x:c r="A36" s="55" t="n">
        <x:v>32</x:v>
      </x:c>
      <x:c r="B36" s="56" t="n">
        <x:v>45890</x:v>
      </x:c>
      <x:c r="C36" s="61" t="str">
        <x:v>청파동1가 1-16</x:v>
      </x:c>
      <x:c r="D36" s="61" t="str">
        <x:v>가보주택</x:v>
      </x:c>
      <x:c r="E36" s="55" t="str">
        <x:v>다세대주택</x:v>
      </x:c>
      <x:c r="F36" s="57" t="n">
        <x:v>49700</x:v>
      </x:c>
      <x:c r="G36" s="58" t="n">
        <x:f>IFERROR(F36/10000,"")</x:f>
        <x:v>4.97</x:v>
      </x:c>
      <x:c r="H36" s="55" t="str">
        <x:v>다세대</x:v>
      </x:c>
      <x:c r="I36" s="59" t="n">
        <x:v>15.873</x:v>
      </x:c>
      <x:c r="J36" s="59" t="n">
        <x:f>IFERROR(I36/3.3058,"")</x:f>
        <x:v>4.801560892975981</x:v>
      </x:c>
      <x:c r="K36" s="57" t="n">
        <x:f>IFERROR(F36/J36,"")</x:f>
        <x:v>10350.80073080073</x:v>
      </x:c>
      <x:c r="L36" s="59" t="n">
        <x:v>31.36</x:v>
      </x:c>
      <x:c r="M36" s="57" t="n">
        <x:f>IFERROR(F36/(L36/3.3),"")</x:f>
        <x:v>5229.910714285714</x:v>
      </x:c>
      <x:c r="N36" s="55" t="str">
        <x:v>2</x:v>
      </x:c>
      <x:c r="O36" s="57" t="n">
        <x:v>24900</x:v>
      </x:c>
      <x:c r="P36" s="60" t="n">
        <x:f>IFERROR(F36/O36-1,"")</x:f>
        <x:v>0.9959839357429718</x:v>
      </x:c>
      <x:c r="Q36" s="55" t="n">
        <x:v>1997</x:v>
      </x:c>
      <x:c r="R36" s="55" t="str">
        <x:v>비지하</x:v>
      </x:c>
      <x:c r="S36" s="55" t="str">
        <x:v>중개거래</x:v>
      </x:c>
      <x:c r="T36" s="55" t="str">
        <x:v>서울 용산구</x:v>
      </x:c>
      <x:c r="U36" s="55" t="n">
        <x:v>8516396</x:v>
      </x:c>
      <x:c r="V36" s="55" t="str">
        <x:v>활성</x:v>
      </x:c>
    </x:row>
    <x:row r="37">
      <x:c r="A37" s="55" t="n">
        <x:v>33</x:v>
      </x:c>
      <x:c r="B37" s="56" t="n">
        <x:v>45880</x:v>
      </x:c>
      <x:c r="C37" s="61" t="str">
        <x:v>서계동 33-64</x:v>
      </x:c>
      <x:c r="D37" s="61" t="str">
        <x:v>퍼스트하우스</x:v>
      </x:c>
      <x:c r="E37" s="55" t="str">
        <x:v>다세대주택</x:v>
      </x:c>
      <x:c r="F37" s="57" t="n">
        <x:v>51000</x:v>
      </x:c>
      <x:c r="G37" s="58" t="n">
        <x:f>IFERROR(F37/10000,"")</x:f>
        <x:v>5.1</x:v>
      </x:c>
      <x:c r="H37" s="55" t="str">
        <x:v>다세대</x:v>
      </x:c>
      <x:c r="I37" s="59" t="n">
        <x:v>20.05</x:v>
      </x:c>
      <x:c r="J37" s="59" t="n">
        <x:f>IFERROR(I37/3.3058,"")</x:f>
        <x:v>6.0650977070603185</x:v>
      </x:c>
      <x:c r="K37" s="57" t="n">
        <x:f>IFERROR(F37/J37,"")</x:f>
        <x:v>8408.768079800499</x:v>
      </x:c>
      <x:c r="L37" s="59" t="n">
        <x:v>29.97</x:v>
      </x:c>
      <x:c r="M37" s="57" t="n">
        <x:f>IFERROR(F37/(L37/3.3),"")</x:f>
        <x:v>5615.615615615616</x:v>
      </x:c>
      <x:c r="N37" s="55" t="str">
        <x:v>3</x:v>
      </x:c>
      <x:c r="O37" s="57" t="n">
        <x:v>45500</x:v>
      </x:c>
      <x:c r="P37" s="60" t="n">
        <x:f>IFERROR(F37/O37-1,"")</x:f>
        <x:v>0.1208791208791209</x:v>
      </x:c>
      <x:c r="Q37" s="55" t="n">
        <x:v>2021</x:v>
      </x:c>
      <x:c r="R37" s="55" t="str">
        <x:v>비지하</x:v>
      </x:c>
      <x:c r="S37" s="55" t="str">
        <x:v>중개거래</x:v>
      </x:c>
      <x:c r="T37" s="55" t="str">
        <x:v>서울 마포구</x:v>
      </x:c>
      <x:c r="U37" s="55" t="n">
        <x:v>8516471</x:v>
      </x:c>
      <x:c r="V37" s="55" t="str">
        <x:v>활성</x:v>
      </x:c>
    </x:row>
    <x:row r="38">
      <x:c r="A38" s="55" t="n">
        <x:v>34</x:v>
      </x:c>
      <x:c r="B38" s="56" t="n">
        <x:v>45854</x:v>
      </x:c>
      <x:c r="C38" s="61" t="str">
        <x:v>서계동 240-16</x:v>
      </x:c>
      <x:c r="D38" s="61" t="str">
        <x:v>(240-16)</x:v>
      </x:c>
      <x:c r="E38" s="55" t="str">
        <x:v>다세대주택</x:v>
      </x:c>
      <x:c r="F38" s="57" t="n">
        <x:v>80500</x:v>
      </x:c>
      <x:c r="G38" s="58" t="n">
        <x:f>IFERROR(F38/10000,"")</x:f>
        <x:v>8.05</x:v>
      </x:c>
      <x:c r="H38" s="55" t="str">
        <x:v>다세대</x:v>
      </x:c>
      <x:c r="I38" s="59" t="n">
        <x:v>19.02</x:v>
      </x:c>
      <x:c r="J38" s="59" t="n">
        <x:f>IFERROR(I38/3.3058,"")</x:f>
        <x:v>5.753524109141509</x:v>
      </x:c>
      <x:c r="K38" s="57" t="n">
        <x:f>IFERROR(F38/J38,"")</x:f>
        <x:v>13991.424815983175</x:v>
      </x:c>
      <x:c r="L38" s="59" t="n">
        <x:v>45.81</x:v>
      </x:c>
      <x:c r="M38" s="57" t="n">
        <x:f>IFERROR(F38/(L38/3.3),"")</x:f>
        <x:v>5798.9521938441385</x:v>
      </x:c>
      <x:c r="N38" s="55" t="str">
        <x:v>2</x:v>
      </x:c>
      <x:c r="O38" s="57" t="n">
        <x:v>32800</x:v>
      </x:c>
      <x:c r="P38" s="60" t="n">
        <x:f>IFERROR(F38/O38-1,"")</x:f>
        <x:v>1.4542682926829267</x:v>
      </x:c>
      <x:c r="Q38" s="55" t="n">
        <x:v>1997</x:v>
      </x:c>
      <x:c r="R38" s="55" t="str">
        <x:v>비지하</x:v>
      </x:c>
      <x:c r="S38" s="55" t="str">
        <x:v>중개거래</x:v>
      </x:c>
      <x:c r="T38" s="55" t="str">
        <x:v>서울 용산구</x:v>
      </x:c>
      <x:c r="U38" s="55" t="n">
        <x:v>8516359</x:v>
      </x:c>
      <x:c r="V38" s="55" t="str">
        <x:v>활성</x:v>
      </x:c>
    </x:row>
    <x:row r="39">
      <x:c r="A39" s="55" t="n">
        <x:v>35</x:v>
      </x:c>
      <x:c r="B39" s="56" t="n">
        <x:v>45853</x:v>
      </x:c>
      <x:c r="C39" s="61" t="str">
        <x:v>서계동 241-8</x:v>
      </x:c>
      <x:c r="D39" s="61" t="str">
        <x:v>(241-8)</x:v>
      </x:c>
      <x:c r="E39" s="55" t="str">
        <x:v>다세대주택</x:v>
      </x:c>
      <x:c r="F39" s="57" t="n">
        <x:v>73000</x:v>
      </x:c>
      <x:c r="G39" s="58" t="n">
        <x:f>IFERROR(F39/10000,"")</x:f>
        <x:v>7.3</x:v>
      </x:c>
      <x:c r="H39" s="55" t="str">
        <x:v>다세대</x:v>
      </x:c>
      <x:c r="I39" s="59" t="n">
        <x:v>16.86</x:v>
      </x:c>
      <x:c r="J39" s="59" t="n">
        <x:f>IFERROR(I39/3.3058,"")</x:f>
        <x:v>5.100127049428277</x:v>
      </x:c>
      <x:c r="K39" s="57" t="n">
        <x:f>IFERROR(F39/J39,"")</x:f>
        <x:v>14313.368920521947</x:v>
      </x:c>
      <x:c r="L39" s="59" t="n">
        <x:v>20.3</x:v>
      </x:c>
      <x:c r="M39" s="57" t="n">
        <x:f>IFERROR(F39/(L39/3.3),"")</x:f>
        <x:v>11866.995073891625</x:v>
      </x:c>
      <x:c r="N39" s="55" t="str">
        <x:v>3</x:v>
      </x:c>
      <x:c r="O39" s="57" t="n">
        <x:v>32800</x:v>
      </x:c>
      <x:c r="P39" s="60" t="n">
        <x:f>IFERROR(F39/O39-1,"")</x:f>
        <x:v>1.225609756097561</x:v>
      </x:c>
      <x:c r="Q39" s="55" t="n">
        <x:v>2021</x:v>
      </x:c>
      <x:c r="R39" s="55" t="str">
        <x:v>비지하</x:v>
      </x:c>
      <x:c r="S39" s="55" t="str">
        <x:v>중개거래</x:v>
      </x:c>
      <x:c r="T39" s="55" t="str">
        <x:v>서울 용산구</x:v>
      </x:c>
      <x:c r="U39" s="55" t="n">
        <x:v>8516336</x:v>
      </x:c>
      <x:c r="V39" s="55" t="str">
        <x:v>활성</x:v>
      </x:c>
    </x:row>
    <x:row r="40">
      <x:c r="A40" s="55" t="n">
        <x:v>36</x:v>
      </x:c>
      <x:c r="B40" s="56" t="n">
        <x:v>45850</x:v>
      </x:c>
      <x:c r="C40" s="61" t="str">
        <x:v>청파동1가 1-80</x:v>
      </x:c>
      <x:c r="D40" s="61" t="str">
        <x:v>청파블루빌</x:v>
      </x:c>
      <x:c r="E40" s="55" t="str">
        <x:v>다세대주택</x:v>
      </x:c>
      <x:c r="F40" s="57" t="n">
        <x:v>92000</x:v>
      </x:c>
      <x:c r="G40" s="58" t="n">
        <x:f>IFERROR(F40/10000,"")</x:f>
        <x:v>9.2</x:v>
      </x:c>
      <x:c r="H40" s="55" t="str">
        <x:v>다세대</x:v>
      </x:c>
      <x:c r="I40" s="59" t="n">
        <x:v>31.39</x:v>
      </x:c>
      <x:c r="J40" s="59" t="n">
        <x:f>IFERROR(I40/3.3058,"")</x:f>
        <x:v>9.495432270554783</x:v>
      </x:c>
      <x:c r="K40" s="57" t="n">
        <x:f>IFERROR(F40/J40,"")</x:f>
        <x:v>9688.869066581714</x:v>
      </x:c>
      <x:c r="L40" s="59" t="n">
        <x:v>52.19</x:v>
      </x:c>
      <x:c r="M40" s="57" t="n">
        <x:f>IFERROR(F40/(L40/3.3),"")</x:f>
        <x:v>5817.20636137191</x:v>
      </x:c>
      <x:c r="N40" s="55" t="str">
        <x:v>2</x:v>
      </x:c>
      <x:c r="O40" s="57" t="n">
        <x:v>54300</x:v>
      </x:c>
      <x:c r="P40" s="60" t="n">
        <x:f>IFERROR(F40/O40-1,"")</x:f>
        <x:v>0.6942909760589318</x:v>
      </x:c>
      <x:c r="Q40" s="55" t="n">
        <x:v>2008</x:v>
      </x:c>
      <x:c r="R40" s="55" t="str">
        <x:v>비지하</x:v>
      </x:c>
      <x:c r="S40" s="55" t="str">
        <x:v>중개거래</x:v>
      </x:c>
      <x:c r="T40" s="55" t="str">
        <x:v>서울 용산구</x:v>
      </x:c>
      <x:c r="U40" s="55" t="n">
        <x:v>8516355</x:v>
      </x:c>
      <x:c r="V40" s="55" t="str">
        <x:v>활성</x:v>
      </x:c>
    </x:row>
    <x:row r="41">
      <x:c r="A41" s="55" t="n">
        <x:v>37</x:v>
      </x:c>
      <x:c r="B41" s="56" t="n">
        <x:v>45835</x:v>
      </x:c>
      <x:c r="C41" s="61" t="str">
        <x:v>청파동1가 1-210</x:v>
      </x:c>
      <x:c r="D41" s="61" t="str">
        <x:v>(1-210)</x:v>
      </x:c>
      <x:c r="E41" s="55" t="str">
        <x:v>다세대주택</x:v>
      </x:c>
      <x:c r="F41" s="57" t="n">
        <x:v>90000</x:v>
      </x:c>
      <x:c r="G41" s="58" t="n">
        <x:f>IFERROR(F41/10000,"")</x:f>
        <x:v>9</x:v>
      </x:c>
      <x:c r="H41" s="55" t="str">
        <x:v>연립</x:v>
      </x:c>
      <x:c r="I41" s="59" t="n">
        <x:v>40.12</x:v>
      </x:c>
      <x:c r="J41" s="59" t="n">
        <x:f>IFERROR(I41/3.3058,"")</x:f>
        <x:v>12.136245386895759</x:v>
      </x:c>
      <x:c r="K41" s="57" t="n">
        <x:f>IFERROR(F41/J41,"")</x:f>
        <x:v>7415.80259222333</x:v>
      </x:c>
      <x:c r="L41" s="59" t="n">
        <x:v>59.49</x:v>
      </x:c>
      <x:c r="M41" s="57" t="n">
        <x:f>IFERROR(F41/(L41/3.3),"")</x:f>
        <x:v>4992.435703479577</x:v>
      </x:c>
      <x:c r="N41" s="55" t="str">
        <x:v>3</x:v>
      </x:c>
      <x:c r="O41" s="57" t="n">
        <x:v>50300</x:v>
      </x:c>
      <x:c r="P41" s="60" t="n">
        <x:f>IFERROR(F41/O41-1,"")</x:f>
        <x:v>0.7892644135188867</x:v>
      </x:c>
      <x:c r="Q41" s="55" t="n">
        <x:v>1995</x:v>
      </x:c>
      <x:c r="R41" s="55" t="str">
        <x:v>비지하</x:v>
      </x:c>
      <x:c r="S41" s="55" t="str">
        <x:v>중개거래</x:v>
      </x:c>
      <x:c r="T41" s="55" t="str">
        <x:v>서울 용산구</x:v>
      </x:c>
      <x:c r="U41" s="55" t="n">
        <x:v>8516205</x:v>
      </x:c>
      <x:c r="V41" s="55" t="str">
        <x:v>활성</x:v>
      </x:c>
    </x:row>
    <x:row r="42">
      <x:c r="A42" s="55" t="n">
        <x:v>38</x:v>
      </x:c>
      <x:c r="B42" s="56" t="n">
        <x:v>45834</x:v>
      </x:c>
      <x:c r="C42" s="61" t="str">
        <x:v>서계동 251-17</x:v>
      </x:c>
      <x:c r="D42" s="61" t="str">
        <x:v>광성빌라</x:v>
      </x:c>
      <x:c r="E42" s="55" t="str">
        <x:v>다세대주택</x:v>
      </x:c>
      <x:c r="F42" s="57" t="n">
        <x:v>80000</x:v>
      </x:c>
      <x:c r="G42" s="58" t="n">
        <x:f>IFERROR(F42/10000,"")</x:f>
        <x:v>8</x:v>
      </x:c>
      <x:c r="H42" s="55" t="str">
        <x:v>다세대</x:v>
      </x:c>
      <x:c r="I42" s="59" t="n">
        <x:v>26.8</x:v>
      </x:c>
      <x:c r="J42" s="59" t="n">
        <x:f>IFERROR(I42/3.3058,"")</x:f>
        <x:v>8.106963518664166</x:v>
      </x:c>
      <x:c r="K42" s="57" t="n">
        <x:f>IFERROR(F42/J42,"")</x:f>
        <x:v>9868.059701492537</x:v>
      </x:c>
      <x:c r="L42" s="59" t="n">
        <x:v>54.69</x:v>
      </x:c>
      <x:c r="M42" s="57" t="n">
        <x:f>IFERROR(F42/(L42/3.3),"")</x:f>
        <x:v>4827.207899067471</x:v>
      </x:c>
      <x:c r="N42" s="55" t="str">
        <x:v>1</x:v>
      </x:c>
      <x:c r="O42" s="57" t="n">
        <x:v>39100</x:v>
      </x:c>
      <x:c r="P42" s="60" t="n">
        <x:f>IFERROR(F42/O42-1,"")</x:f>
        <x:v>1.0460358056265986</x:v>
      </x:c>
      <x:c r="Q42" s="55" t="n">
        <x:v>1996</x:v>
      </x:c>
      <x:c r="R42" s="55" t="str">
        <x:v>비지하</x:v>
      </x:c>
      <x:c r="S42" s="55" t="str">
        <x:v>중개거래</x:v>
      </x:c>
      <x:c r="T42" s="55" t="str">
        <x:v>서울 용산구</x:v>
      </x:c>
      <x:c r="U42" s="55" t="n">
        <x:v>8516225</x:v>
      </x:c>
      <x:c r="V42" s="55" t="str">
        <x:v>활성</x:v>
      </x:c>
    </x:row>
    <x:row r="43">
      <x:c r="A43" s="55" t="n">
        <x:v>39</x:v>
      </x:c>
      <x:c r="B43" s="56" t="n">
        <x:v>45833</x:v>
      </x:c>
      <x:c r="C43" s="61" t="str">
        <x:v>서계동 252-73</x:v>
      </x:c>
      <x:c r="D43" s="61" t="str">
        <x:v>(252-73)</x:v>
      </x:c>
      <x:c r="E43" s="55" t="str">
        <x:v>다세대주택</x:v>
      </x:c>
      <x:c r="F43" s="57" t="n">
        <x:v>66000</x:v>
      </x:c>
      <x:c r="G43" s="58" t="n">
        <x:f>IFERROR(F43/10000,"")</x:f>
        <x:v>6.6</x:v>
      </x:c>
      <x:c r="H43" s="55" t="str">
        <x:v>다세대</x:v>
      </x:c>
      <x:c r="I43" s="59" t="n">
        <x:v>17.68</x:v>
      </x:c>
      <x:c r="J43" s="59" t="n">
        <x:f>IFERROR(I43/3.3058,"")</x:f>
        <x:v>5.3481759332083</x:v>
      </x:c>
      <x:c r="K43" s="57" t="n">
        <x:f>IFERROR(F43/J43,"")</x:f>
        <x:v>12340.656108597286</x:v>
      </x:c>
      <x:c r="L43" s="59" t="n">
        <x:v>47.98</x:v>
      </x:c>
      <x:c r="M43" s="57" t="n">
        <x:f>IFERROR(F43/(L43/3.3),"")</x:f>
        <x:v>4539.391413088787</x:v>
      </x:c>
      <x:c r="N43" s="55" t="str">
        <x:v>2</x:v>
      </x:c>
      <x:c r="O43" s="57" t="n">
        <x:v>32000</x:v>
      </x:c>
      <x:c r="P43" s="60" t="n">
        <x:f>IFERROR(F43/O43-1,"")</x:f>
        <x:v>1.0625</x:v>
      </x:c>
      <x:c r="Q43" s="55" t="n">
        <x:v>1996</x:v>
      </x:c>
      <x:c r="R43" s="55" t="str">
        <x:v>비지하</x:v>
      </x:c>
      <x:c r="S43" s="55" t="str">
        <x:v>중개거래</x:v>
      </x:c>
      <x:c r="T43" s="55" t="str">
        <x:v>서울 용산구</x:v>
      </x:c>
      <x:c r="U43" s="55" t="n">
        <x:v>8516209</x:v>
      </x:c>
      <x:c r="V43" s="55" t="str">
        <x:v>활성</x:v>
      </x:c>
    </x:row>
    <x:row r="44">
      <x:c r="A44" s="55" t="n">
        <x:v>40</x:v>
      </x:c>
      <x:c r="B44" s="56" t="n">
        <x:v>45833</x:v>
      </x:c>
      <x:c r="C44" s="61" t="str">
        <x:v>청파동1가 1-16</x:v>
      </x:c>
      <x:c r="D44" s="61" t="str">
        <x:v>가보주택</x:v>
      </x:c>
      <x:c r="E44" s="55" t="str">
        <x:v>다세대주택</x:v>
      </x:c>
      <x:c r="F44" s="57" t="n">
        <x:v>49500</x:v>
      </x:c>
      <x:c r="G44" s="58" t="n">
        <x:f>IFERROR(F44/10000,"")</x:f>
        <x:v>4.95</x:v>
      </x:c>
      <x:c r="H44" s="55" t="str">
        <x:v>다세대</x:v>
      </x:c>
      <x:c r="I44" s="59" t="n">
        <x:v>15.873</x:v>
      </x:c>
      <x:c r="J44" s="59" t="n">
        <x:f>IFERROR(I44/3.3058,"")</x:f>
        <x:v>4.801560892975981</x:v>
      </x:c>
      <x:c r="K44" s="57" t="n">
        <x:f>IFERROR(F44/J44,"")</x:f>
        <x:v>10309.147609147609</x:v>
      </x:c>
      <x:c r="L44" s="59" t="n">
        <x:v>31.36</x:v>
      </x:c>
      <x:c r="M44" s="57" t="n">
        <x:f>IFERROR(F44/(L44/3.3),"")</x:f>
        <x:v>5208.864795918367</x:v>
      </x:c>
      <x:c r="N44" s="55" t="str">
        <x:v>1</x:v>
      </x:c>
      <x:c r="O44" s="57" t="n">
        <x:v>24900</x:v>
      </x:c>
      <x:c r="P44" s="60" t="n">
        <x:f>IFERROR(F44/O44-1,"")</x:f>
        <x:v>0.9879518072289157</x:v>
      </x:c>
      <x:c r="Q44" s="55" t="n">
        <x:v>1997</x:v>
      </x:c>
      <x:c r="R44" s="55" t="str">
        <x:v>비지하</x:v>
      </x:c>
      <x:c r="S44" s="55" t="str">
        <x:v>중개거래</x:v>
      </x:c>
      <x:c r="T44" s="55" t="str">
        <x:v>서울 용산구</x:v>
      </x:c>
      <x:c r="U44" s="55" t="n">
        <x:v>8516142</x:v>
      </x:c>
      <x:c r="V44" s="55" t="str">
        <x:v>활성</x:v>
      </x:c>
    </x:row>
    <x:row r="45">
      <x:c r="A45" s="55" t="n">
        <x:v>41</x:v>
      </x:c>
      <x:c r="B45" s="56" t="n">
        <x:v>45804</x:v>
      </x:c>
      <x:c r="C45" s="61" t="str">
        <x:v>서계동 91</x:v>
      </x:c>
      <x:c r="D45" s="61" t="str">
        <x:v>(91-0)</x:v>
      </x:c>
      <x:c r="E45" s="55" t="str">
        <x:v>다세대주택</x:v>
      </x:c>
      <x:c r="F45" s="57" t="n">
        <x:v>95000</x:v>
      </x:c>
      <x:c r="G45" s="58" t="n">
        <x:f>IFERROR(F45/10000,"")</x:f>
        <x:v>9.5</x:v>
      </x:c>
      <x:c r="H45" s="55" t="str">
        <x:v>다세대</x:v>
      </x:c>
      <x:c r="I45" s="59" t="n">
        <x:v>43.07</x:v>
      </x:c>
      <x:c r="J45" s="59" t="n">
        <x:f>IFERROR(I45/3.3058,"")</x:f>
        <x:v>13.02861637122633</x:v>
      </x:c>
      <x:c r="K45" s="57" t="n">
        <x:f>IFERROR(F45/J45,"")</x:f>
        <x:v>7291.64151381472</x:v>
      </x:c>
      <x:c r="L45" s="59" t="n">
        <x:v>58.59</x:v>
      </x:c>
      <x:c r="M45" s="57" t="n">
        <x:f>IFERROR(F45/(L45/3.3),"")</x:f>
        <x:v>5350.74244751664</x:v>
      </x:c>
      <x:c r="N45" s="55" t="str">
        <x:v>1</x:v>
      </x:c>
      <x:c r="O45" s="57" t="n">
        <x:v>60700</x:v>
      </x:c>
      <x:c r="P45" s="60" t="n">
        <x:f>IFERROR(F45/O45-1,"")</x:f>
        <x:v>0.5650741350906097</x:v>
      </x:c>
      <x:c r="Q45" s="55" t="n">
        <x:v>1988</x:v>
      </x:c>
      <x:c r="R45" s="55" t="str">
        <x:v>비지하</x:v>
      </x:c>
      <x:c r="S45" s="55" t="str">
        <x:v>중개거래</x:v>
      </x:c>
      <x:c r="T45" s="55" t="str">
        <x:v>서울 용산구</x:v>
      </x:c>
      <x:c r="U45" s="55" t="n">
        <x:v>8516017</x:v>
      </x:c>
      <x:c r="V45" s="55" t="str">
        <x:v>활성</x:v>
      </x:c>
    </x:row>
    <x:row r="46">
      <x:c r="A46" s="55" t="n">
        <x:v>42</x:v>
      </x:c>
      <x:c r="B46" s="56" t="n">
        <x:v>45786</x:v>
      </x:c>
      <x:c r="C46" s="61" t="str">
        <x:v>서계동 244-10</x:v>
      </x:c>
      <x:c r="D46" s="61" t="str">
        <x:v>(244-10)</x:v>
      </x:c>
      <x:c r="E46" s="55" t="str">
        <x:v>다세대주택</x:v>
      </x:c>
      <x:c r="F46" s="57" t="n">
        <x:v>90500</x:v>
      </x:c>
      <x:c r="G46" s="58" t="n">
        <x:f>IFERROR(F46/10000,"")</x:f>
        <x:v>9.05</x:v>
      </x:c>
      <x:c r="H46" s="55" t="str">
        <x:v>다세대</x:v>
      </x:c>
      <x:c r="I46" s="59" t="n">
        <x:v>26.7</x:v>
      </x:c>
      <x:c r="J46" s="59" t="n">
        <x:f>IFERROR(I46/3.3058,"")</x:f>
        <x:v>8.076713654788554</x:v>
      </x:c>
      <x:c r="K46" s="57" t="n">
        <x:f>IFERROR(F46/J46,"")</x:f>
        <x:v>11205.052434456928</x:v>
      </x:c>
      <x:c r="L46" s="59" t="n">
        <x:v>64.17</x:v>
      </x:c>
      <x:c r="M46" s="57" t="n">
        <x:f>IFERROR(F46/(L46/3.3),"")</x:f>
        <x:v>4654.043945769051</x:v>
      </x:c>
      <x:c r="N46" s="55" t="str">
        <x:v>3</x:v>
      </x:c>
      <x:c r="O46" s="57" t="n">
        <x:v>55100</x:v>
      </x:c>
      <x:c r="P46" s="60" t="n">
        <x:f>IFERROR(F46/O46-1,"")</x:f>
        <x:v>0.6424682395644283</x:v>
      </x:c>
      <x:c r="Q46" s="55" t="n">
        <x:v>2001</x:v>
      </x:c>
      <x:c r="R46" s="55" t="str">
        <x:v>비지하</x:v>
      </x:c>
      <x:c r="S46" s="55" t="str">
        <x:v>중개거래</x:v>
      </x:c>
      <x:c r="T46" s="55" t="str">
        <x:v>서울 서대문구</x:v>
      </x:c>
      <x:c r="U46" s="55" t="n">
        <x:v>8516113</x:v>
      </x:c>
      <x:c r="V46" s="55" t="str">
        <x:v>활성</x:v>
      </x:c>
    </x:row>
    <x:row r="47">
      <x:c r="A47" s="55" t="n">
        <x:v>43</x:v>
      </x:c>
      <x:c r="B47" s="56" t="n">
        <x:v>45758</x:v>
      </x:c>
      <x:c r="C47" s="61" t="str">
        <x:v>청파동1가 1-40</x:v>
      </x:c>
      <x:c r="D47" s="61" t="str">
        <x:v>올림프스빌리지1-40)</x:v>
      </x:c>
      <x:c r="E47" s="55" t="str">
        <x:v>다세대주택</x:v>
      </x:c>
      <x:c r="F47" s="57" t="n">
        <x:v>84000</x:v>
      </x:c>
      <x:c r="G47" s="58" t="n">
        <x:f>IFERROR(F47/10000,"")</x:f>
        <x:v>8.4</x:v>
      </x:c>
      <x:c r="H47" s="55" t="str">
        <x:v>다세대</x:v>
      </x:c>
      <x:c r="I47" s="59" t="n">
        <x:v>33.06</x:v>
      </x:c>
      <x:c r="J47" s="59" t="n">
        <x:f>IFERROR(I47/3.3058,"")</x:f>
        <x:v>10.000604997277513</x:v>
      </x:c>
      <x:c r="K47" s="57" t="n">
        <x:f>IFERROR(F47/J47,"")</x:f>
        <x:v>8399.491833030852</x:v>
      </x:c>
      <x:c r="L47" s="59" t="n">
        <x:v>60.46</x:v>
      </x:c>
      <x:c r="M47" s="57" t="n">
        <x:f>IFERROR(F47/(L47/3.3),"")</x:f>
        <x:v>4584.849487264306</x:v>
      </x:c>
      <x:c r="N47" s="55" t="str">
        <x:v>3</x:v>
      </x:c>
      <x:c r="O47" s="57" t="n">
        <x:v>53600</x:v>
      </x:c>
      <x:c r="P47" s="60" t="n">
        <x:f>IFERROR(F47/O47-1,"")</x:f>
        <x:v>0.5671641791044777</x:v>
      </x:c>
      <x:c r="Q47" s="55" t="n">
        <x:v>2010</x:v>
      </x:c>
      <x:c r="R47" s="55" t="str">
        <x:v>비지하</x:v>
      </x:c>
      <x:c r="S47" s="55" t="str">
        <x:v>중개거래</x:v>
      </x:c>
      <x:c r="T47" s="55" t="str">
        <x:v>서울 용산구</x:v>
      </x:c>
      <x:c r="U47" s="55" t="n">
        <x:v>8515981</x:v>
      </x:c>
      <x:c r="V47" s="55" t="str">
        <x:v>활성</x:v>
      </x:c>
    </x:row>
    <x:row r="48">
      <x:c r="A48" s="55" t="n">
        <x:v>44</x:v>
      </x:c>
      <x:c r="B48" s="56" t="n">
        <x:v>45752</x:v>
      </x:c>
      <x:c r="C48" s="61" t="str">
        <x:v>청파동1가 1-16</x:v>
      </x:c>
      <x:c r="D48" s="61" t="str">
        <x:v>가보주택</x:v>
      </x:c>
      <x:c r="E48" s="55" t="str">
        <x:v>다세대주택</x:v>
      </x:c>
      <x:c r="F48" s="57" t="n">
        <x:v>47500</x:v>
      </x:c>
      <x:c r="G48" s="58" t="n">
        <x:f>IFERROR(F48/10000,"")</x:f>
        <x:v>4.75</x:v>
      </x:c>
      <x:c r="H48" s="55" t="str">
        <x:v>다세대</x:v>
      </x:c>
      <x:c r="I48" s="59" t="n">
        <x:v>15.873</x:v>
      </x:c>
      <x:c r="J48" s="59" t="n">
        <x:f>IFERROR(I48/3.3058,"")</x:f>
        <x:v>4.801560892975981</x:v>
      </x:c>
      <x:c r="K48" s="57" t="n">
        <x:f>IFERROR(F48/J48,"")</x:f>
        <x:v>9892.616392616394</x:v>
      </x:c>
      <x:c r="L48" s="59" t="n">
        <x:v>31.36</x:v>
      </x:c>
      <x:c r="M48" s="57" t="n">
        <x:f>IFERROR(F48/(L48/3.3),"")</x:f>
        <x:v>4998.405612244897</x:v>
      </x:c>
      <x:c r="N48" s="55" t="str">
        <x:v>3</x:v>
      </x:c>
      <x:c r="O48" s="57" t="n">
        <x:v>24900</x:v>
      </x:c>
      <x:c r="P48" s="60" t="n">
        <x:f>IFERROR(F48/O48-1,"")</x:f>
        <x:v>0.9076305220883534</x:v>
      </x:c>
      <x:c r="Q48" s="55" t="n">
        <x:v>1997</x:v>
      </x:c>
      <x:c r="R48" s="55" t="str">
        <x:v>비지하</x:v>
      </x:c>
      <x:c r="S48" s="55" t="str">
        <x:v>중개거래</x:v>
      </x:c>
      <x:c r="T48" s="55" t="str">
        <x:v>서울 용산구</x:v>
      </x:c>
      <x:c r="U48" s="55" t="n">
        <x:v>8515942</x:v>
      </x:c>
      <x:c r="V48" s="55" t="str">
        <x:v>활성</x:v>
      </x:c>
    </x:row>
    <x:row r="49">
      <x:c r="A49" s="55" t="n">
        <x:v>45</x:v>
      </x:c>
      <x:c r="B49" s="56" t="n">
        <x:v>45745</x:v>
      </x:c>
      <x:c r="C49" s="61" t="str">
        <x:v>서계동 251-1</x:v>
      </x:c>
      <x:c r="D49" s="61" t="str">
        <x:v>(251-1)</x:v>
      </x:c>
      <x:c r="E49" s="55" t="str">
        <x:v>다세대주택</x:v>
      </x:c>
      <x:c r="F49" s="57" t="n">
        <x:v>71500</x:v>
      </x:c>
      <x:c r="G49" s="58" t="n">
        <x:f>IFERROR(F49/10000,"")</x:f>
        <x:v>7.15</x:v>
      </x:c>
      <x:c r="H49" s="55" t="str">
        <x:v>다세대</x:v>
      </x:c>
      <x:c r="I49" s="59" t="n">
        <x:v>22.62</x:v>
      </x:c>
      <x:c r="J49" s="59" t="n">
        <x:f>IFERROR(I49/3.3058,"")</x:f>
        <x:v>6.842519208663561</x:v>
      </x:c>
      <x:c r="K49" s="57" t="n">
        <x:f>IFERROR(F49/J49,"")</x:f>
        <x:v>10449.367816091954</x:v>
      </x:c>
      <x:c r="L49" s="59" t="n">
        <x:v>55.14</x:v>
      </x:c>
      <x:c r="M49" s="57" t="n">
        <x:f>IFERROR(F49/(L49/3.3),"")</x:f>
        <x:v>4279.1077257889</x:v>
      </x:c>
      <x:c r="N49" s="55" t="str">
        <x:v>1</x:v>
      </x:c>
      <x:c r="O49" s="57" t="n">
        <x:v>32700</x:v>
      </x:c>
      <x:c r="P49" s="60" t="n">
        <x:f>IFERROR(F49/O49-1,"")</x:f>
        <x:v>1.1865443425076454</x:v>
      </x:c>
      <x:c r="Q49" s="55" t="n">
        <x:v>1996</x:v>
      </x:c>
      <x:c r="R49" s="55" t="str">
        <x:v>비지하</x:v>
      </x:c>
      <x:c r="S49" s="55" t="str">
        <x:v>중개거래</x:v>
      </x:c>
      <x:c r="T49" s="55" t="str">
        <x:v>서울 용산구, 서울 중구</x:v>
      </x:c>
      <x:c r="U49" s="55" t="n">
        <x:v>8515831</x:v>
      </x:c>
      <x:c r="V49" s="55" t="str">
        <x:v>활성</x:v>
      </x:c>
    </x:row>
    <x:row r="50">
      <x:c r="A50" s="55" t="n">
        <x:v>46</x:v>
      </x:c>
      <x:c r="B50" s="56" t="n">
        <x:v>45729</x:v>
      </x:c>
      <x:c r="C50" s="61" t="str">
        <x:v>청파동1가 1-57</x:v>
      </x:c>
      <x:c r="D50" s="61" t="str">
        <x:v>홍은빌라</x:v>
      </x:c>
      <x:c r="E50" s="55" t="str">
        <x:v>다세대주택</x:v>
      </x:c>
      <x:c r="F50" s="57" t="n">
        <x:v>65000</x:v>
      </x:c>
      <x:c r="G50" s="58" t="n">
        <x:f>IFERROR(F50/10000,"")</x:f>
        <x:v>6.5</x:v>
      </x:c>
      <x:c r="H50" s="55" t="str">
        <x:v>다세대</x:v>
      </x:c>
      <x:c r="I50" s="59" t="n">
        <x:v>26.47</x:v>
      </x:c>
      <x:c r="J50" s="59" t="n">
        <x:f>IFERROR(I50/3.3058,"")</x:f>
        <x:v>8.007138967874644</x:v>
      </x:c>
      <x:c r="K50" s="57" t="n">
        <x:f>IFERROR(F50/J50,"")</x:f>
        <x:v>8117.755950132226</x:v>
      </x:c>
      <x:c r="L50" s="59" t="n">
        <x:v>39.16</x:v>
      </x:c>
      <x:c r="M50" s="57" t="n">
        <x:f>IFERROR(F50/(L50/3.3),"")</x:f>
        <x:v>5477.52808988764</x:v>
      </x:c>
      <x:c r="N50" s="55" t="str">
        <x:v>3</x:v>
      </x:c>
      <x:c r="O50" s="57" t="n">
        <x:v>31300</x:v>
      </x:c>
      <x:c r="P50" s="60" t="n">
        <x:f>IFERROR(F50/O50-1,"")</x:f>
        <x:v>1.0766773162939298</x:v>
      </x:c>
      <x:c r="Q50" s="55" t="n">
        <x:v>1993</x:v>
      </x:c>
      <x:c r="R50" s="55" t="str">
        <x:v>비지하</x:v>
      </x:c>
      <x:c r="S50" s="55" t="str">
        <x:v>중개거래</x:v>
      </x:c>
      <x:c r="T50" s="55" t="str">
        <x:v>서울 용산구</x:v>
      </x:c>
      <x:c r="U50" s="55" t="n">
        <x:v>8515868</x:v>
      </x:c>
      <x:c r="V50" s="55" t="str">
        <x:v>활성</x:v>
      </x:c>
    </x:row>
    <x:row r="51">
      <x:c r="A51" s="55" t="n">
        <x:v>47</x:v>
      </x:c>
      <x:c r="B51" s="56" t="n">
        <x:v>45716</x:v>
      </x:c>
      <x:c r="C51" s="61" t="str">
        <x:v>청파동1가 1-16</x:v>
      </x:c>
      <x:c r="D51" s="61" t="str">
        <x:v>가보주택</x:v>
      </x:c>
      <x:c r="E51" s="55" t="str">
        <x:v>다세대주택</x:v>
      </x:c>
      <x:c r="F51" s="57" t="n">
        <x:v>47500</x:v>
      </x:c>
      <x:c r="G51" s="58" t="n">
        <x:f>IFERROR(F51/10000,"")</x:f>
        <x:v>4.75</x:v>
      </x:c>
      <x:c r="H51" s="55" t="str">
        <x:v>다세대</x:v>
      </x:c>
      <x:c r="I51" s="59" t="n">
        <x:v>15.873</x:v>
      </x:c>
      <x:c r="J51" s="59" t="n">
        <x:f>IFERROR(I51/3.3058,"")</x:f>
        <x:v>4.801560892975981</x:v>
      </x:c>
      <x:c r="K51" s="57" t="n">
        <x:f>IFERROR(F51/J51,"")</x:f>
        <x:v>9892.616392616394</x:v>
      </x:c>
      <x:c r="L51" s="59" t="n">
        <x:v>31.36</x:v>
      </x:c>
      <x:c r="M51" s="57" t="n">
        <x:f>IFERROR(F51/(L51/3.3),"")</x:f>
        <x:v>4998.405612244897</x:v>
      </x:c>
      <x:c r="N51" s="55" t="str">
        <x:v>1</x:v>
      </x:c>
      <x:c r="O51" s="57" t="n">
        <x:v>24900</x:v>
      </x:c>
      <x:c r="P51" s="60" t="n">
        <x:f>IFERROR(F51/O51-1,"")</x:f>
        <x:v>0.9076305220883534</x:v>
      </x:c>
      <x:c r="Q51" s="55" t="n">
        <x:v>1997</x:v>
      </x:c>
      <x:c r="R51" s="55" t="str">
        <x:v>비지하</x:v>
      </x:c>
      <x:c r="S51" s="55" t="str">
        <x:v>중개거래</x:v>
      </x:c>
      <x:c r="T51" s="55" t="str">
        <x:v>서울 용산구</x:v>
      </x:c>
      <x:c r="U51" s="55" t="n">
        <x:v>8515737</x:v>
      </x:c>
      <x:c r="V51" s="55" t="str">
        <x:v>활성</x:v>
      </x:c>
    </x:row>
    <x:row r="52">
      <x:c r="A52" s="55" t="n">
        <x:v>48</x:v>
      </x:c>
      <x:c r="B52" s="56" t="n">
        <x:v>45696</x:v>
      </x:c>
      <x:c r="C52" s="61" t="str">
        <x:v>청파동1가 1-5</x:v>
      </x:c>
      <x:c r="D52" s="61" t="str">
        <x:v>대성3차빌라</x:v>
      </x:c>
      <x:c r="E52" s="55" t="str">
        <x:v>다세대주택</x:v>
      </x:c>
      <x:c r="F52" s="57" t="n">
        <x:v>79500</x:v>
      </x:c>
      <x:c r="G52" s="58" t="n">
        <x:f>IFERROR(F52/10000,"")</x:f>
        <x:v>7.95</x:v>
      </x:c>
      <x:c r="H52" s="55" t="str">
        <x:v>연립</x:v>
      </x:c>
      <x:c r="I52" s="59" t="n">
        <x:v>29.61</x:v>
      </x:c>
      <x:c r="J52" s="59" t="n">
        <x:f>IFERROR(I52/3.3058,"")</x:f>
        <x:v>8.956984693568879</x:v>
      </x:c>
      <x:c r="K52" s="57" t="n">
        <x:f>IFERROR(F52/J52,"")</x:f>
        <x:v>8875.754812563324</x:v>
      </x:c>
      <x:c r="L52" s="59" t="n">
        <x:v>73.02</x:v>
      </x:c>
      <x:c r="M52" s="57" t="n">
        <x:f>IFERROR(F52/(L52/3.3),"")</x:f>
        <x:v>3592.8512736236644</x:v>
      </x:c>
      <x:c r="N52" s="55" t="str">
        <x:v>1</x:v>
      </x:c>
      <x:c r="O52" s="57" t="n">
        <x:v>45900</x:v>
      </x:c>
      <x:c r="P52" s="60" t="n">
        <x:f>IFERROR(F52/O52-1,"")</x:f>
        <x:v>0.7320261437908497</x:v>
      </x:c>
      <x:c r="Q52" s="55" t="n">
        <x:v>1999</x:v>
      </x:c>
      <x:c r="R52" s="55" t="str">
        <x:v>비지하</x:v>
      </x:c>
      <x:c r="S52" s="55" t="str">
        <x:v>중개거래</x:v>
      </x:c>
      <x:c r="T52" s="55" t="str">
        <x:v>서울 용산구</x:v>
      </x:c>
      <x:c r="U52" s="55" t="n">
        <x:v>8515766</x:v>
      </x:c>
      <x:c r="V52" s="55" t="str">
        <x:v>활성</x:v>
      </x:c>
    </x:row>
    <x:row r="53">
      <x:c r="A53" s="55" t="n">
        <x:v>49</x:v>
      </x:c>
      <x:c r="B53" s="56" t="n">
        <x:v>45679</x:v>
      </x:c>
      <x:c r="C53" s="61" t="str">
        <x:v>서계동 242-21</x:v>
      </x:c>
      <x:c r="D53" s="61" t="str">
        <x:v>성원주택</x:v>
      </x:c>
      <x:c r="E53" s="55" t="str">
        <x:v>다세대주택</x:v>
      </x:c>
      <x:c r="F53" s="57" t="n">
        <x:v>120000</x:v>
      </x:c>
      <x:c r="G53" s="58" t="n">
        <x:f>IFERROR(F53/10000,"")</x:f>
        <x:v>12</x:v>
      </x:c>
      <x:c r="H53" s="55" t="str">
        <x:v>다세대</x:v>
      </x:c>
      <x:c r="I53" s="59" t="n">
        <x:v>45.78</x:v>
      </x:c>
      <x:c r="J53" s="59" t="n">
        <x:f>IFERROR(I53/3.3058,"")</x:f>
        <x:v>13.84838768225543</x:v>
      </x:c>
      <x:c r="K53" s="57" t="n">
        <x:f>IFERROR(F53/J53,"")</x:f>
        <x:v>8665.26867627785</x:v>
      </x:c>
      <x:c r="L53" s="59" t="n">
        <x:v>71.87</x:v>
      </x:c>
      <x:c r="M53" s="57" t="n">
        <x:f>IFERROR(F53/(L53/3.3),"")</x:f>
        <x:v>5509.948518157785</x:v>
      </x:c>
      <x:c r="N53" s="55" t="str">
        <x:v>1</x:v>
      </x:c>
      <x:c r="O53" s="57" t="n">
        <x:v>82400</x:v>
      </x:c>
      <x:c r="P53" s="60" t="n">
        <x:f>IFERROR(F53/O53-1,"")</x:f>
        <x:v>0.4563106796116505</x:v>
      </x:c>
      <x:c r="Q53" s="55" t="n">
        <x:v>2004</x:v>
      </x:c>
      <x:c r="R53" s="55" t="str">
        <x:v>비지하</x:v>
      </x:c>
      <x:c r="S53" s="55" t="str">
        <x:v>중개거래</x:v>
      </x:c>
      <x:c r="T53" s="55" t="str">
        <x:v>서울 용산구</x:v>
      </x:c>
      <x:c r="U53" s="55" t="n">
        <x:v>8515705</x:v>
      </x:c>
      <x:c r="V53" s="55" t="str">
        <x:v>활성</x:v>
      </x:c>
    </x:row>
    <x:row r="54">
      <x:c r="A54" s="55" t="n">
        <x:v>50</x:v>
      </x:c>
      <x:c r="B54" s="56" t="n">
        <x:v>45611</x:v>
      </x:c>
      <x:c r="C54" s="61" t="str">
        <x:v>서계동 251-54</x:v>
      </x:c>
      <x:c r="D54" s="61" t="str">
        <x:v>(251-54)</x:v>
      </x:c>
      <x:c r="E54" s="55" t="str">
        <x:v>다세대주택</x:v>
      </x:c>
      <x:c r="F54" s="57" t="n">
        <x:v>74000</x:v>
      </x:c>
      <x:c r="G54" s="58" t="n">
        <x:f>IFERROR(F54/10000,"")</x:f>
        <x:v>7.4</x:v>
      </x:c>
      <x:c r="H54" s="55" t="str">
        <x:v>다세대</x:v>
      </x:c>
      <x:c r="I54" s="59" t="n">
        <x:v>26.45</x:v>
      </x:c>
      <x:c r="J54" s="59" t="n">
        <x:f>IFERROR(I54/3.3058,"")</x:f>
        <x:v>8.001088995099522</x:v>
      </x:c>
      <x:c r="K54" s="57" t="n">
        <x:f>IFERROR(F54/J54,"")</x:f>
        <x:v>9248.74102079395</x:v>
      </x:c>
      <x:c r="L54" s="59" t="n">
        <x:v>56.02</x:v>
      </x:c>
      <x:c r="M54" s="57" t="n">
        <x:f>IFERROR(F54/(L54/3.3),"")</x:f>
        <x:v>4359.157443770082</x:v>
      </x:c>
      <x:c r="N54" s="55" t="str">
        <x:v>1</x:v>
      </x:c>
      <x:c r="O54" s="57" t="n">
        <x:v>52800</x:v>
      </x:c>
      <x:c r="P54" s="60" t="n">
        <x:f>IFERROR(F54/O54-1,"")</x:f>
        <x:v>0.4015151515151516</x:v>
      </x:c>
      <x:c r="Q54" s="55" t="n">
        <x:v>2009</x:v>
      </x:c>
      <x:c r="R54" s="55" t="str">
        <x:v>비지하</x:v>
      </x:c>
      <x:c r="S54" s="55" t="str">
        <x:v>중개거래</x:v>
      </x:c>
      <x:c r="T54" s="55" t="str">
        <x:v>서울 용산구</x:v>
      </x:c>
      <x:c r="U54" s="55" t="n">
        <x:v>20296386</x:v>
      </x:c>
      <x:c r="V54" s="55" t="str">
        <x:v>활성</x:v>
      </x:c>
    </x:row>
    <x:row r="55">
      <x:c r="A55" s="55" t="n">
        <x:v>51</x:v>
      </x:c>
      <x:c r="B55" s="56" t="n">
        <x:v>45577</x:v>
      </x:c>
      <x:c r="C55" s="61" t="str">
        <x:v>서계동 251-3</x:v>
      </x:c>
      <x:c r="D55" s="61" t="str">
        <x:v>(251-3)</x:v>
      </x:c>
      <x:c r="E55" s="55" t="str">
        <x:v>다세대주택</x:v>
      </x:c>
      <x:c r="F55" s="57" t="n">
        <x:v>72000</x:v>
      </x:c>
      <x:c r="G55" s="58" t="n">
        <x:f>IFERROR(F55/10000,"")</x:f>
        <x:v>7.2</x:v>
      </x:c>
      <x:c r="H55" s="55" t="str">
        <x:v>다세대</x:v>
      </x:c>
      <x:c r="I55" s="59" t="n">
        <x:v>31.58</x:v>
      </x:c>
      <x:c r="J55" s="59" t="n">
        <x:f>IFERROR(I55/3.3058,"")</x:f>
        <x:v>9.552907011918446</x:v>
      </x:c>
      <x:c r="K55" s="57" t="n">
        <x:f>IFERROR(F55/J55,"")</x:f>
        <x:v>7536.972767574414</x:v>
      </x:c>
      <x:c r="L55" s="59" t="n">
        <x:v>59.94</x:v>
      </x:c>
      <x:c r="M55" s="57" t="n">
        <x:f>IFERROR(F55/(L55/3.3),"")</x:f>
        <x:v>3963.963963963964</x:v>
      </x:c>
      <x:c r="N55" s="55" t="str">
        <x:v>2</x:v>
      </x:c>
      <x:c r="O55" s="57" t="n">
        <x:v>51800</x:v>
      </x:c>
      <x:c r="P55" s="60" t="n">
        <x:f>IFERROR(F55/O55-1,"")</x:f>
        <x:v>0.38996138996139007</x:v>
      </x:c>
      <x:c r="Q55" s="55" t="n">
        <x:v>1996</x:v>
      </x:c>
      <x:c r="R55" s="55" t="str">
        <x:v>비지하</x:v>
      </x:c>
      <x:c r="S55" s="55" t="str">
        <x:v>중개거래</x:v>
      </x:c>
      <x:c r="T55" s="55" t="str">
        <x:v>서울 용산구</x:v>
      </x:c>
      <x:c r="U55" s="55" t="n">
        <x:v>20296337</x:v>
      </x:c>
      <x:c r="V55" s="55" t="str">
        <x:v>활성</x:v>
      </x:c>
    </x:row>
    <x:row r="56">
      <x:c r="A56" s="55" t="n">
        <x:v>52</x:v>
      </x:c>
      <x:c r="B56" s="56" t="n">
        <x:v>45572</x:v>
      </x:c>
      <x:c r="C56" s="61" t="str">
        <x:v>서계동 245-11</x:v>
      </x:c>
      <x:c r="D56" s="61" t="str">
        <x:v>(245-11)</x:v>
      </x:c>
      <x:c r="E56" s="55" t="str">
        <x:v>다세대주택</x:v>
      </x:c>
      <x:c r="F56" s="57" t="n">
        <x:v>69000</x:v>
      </x:c>
      <x:c r="G56" s="58" t="n">
        <x:f>IFERROR(F56/10000,"")</x:f>
        <x:v>6.9</x:v>
      </x:c>
      <x:c r="H56" s="55" t="str">
        <x:v>다세대</x:v>
      </x:c>
      <x:c r="I56" s="59" t="n">
        <x:v>22.265</x:v>
      </x:c>
      <x:c r="J56" s="59" t="n">
        <x:f>IFERROR(I56/3.3058,"")</x:f>
        <x:v>6.735132191905136</x:v>
      </x:c>
      <x:c r="K56" s="57" t="n">
        <x:f>IFERROR(F56/J56,"")</x:f>
        <x:v>10244.787783516731</x:v>
      </x:c>
      <x:c r="L56" s="59" t="n">
        <x:v>44.48</x:v>
      </x:c>
      <x:c r="M56" s="57" t="n">
        <x:f>IFERROR(F56/(L56/3.3),"")</x:f>
        <x:v>5119.154676258993</x:v>
      </x:c>
      <x:c r="N56" s="55" t="str">
        <x:v>3</x:v>
      </x:c>
      <x:c r="O56" s="57" t="n">
        <x:v>35800</x:v>
      </x:c>
      <x:c r="P56" s="60" t="n">
        <x:f>IFERROR(F56/O56-1,"")</x:f>
        <x:v>0.9273743016759777</x:v>
      </x:c>
      <x:c r="Q56" s="55" t="n">
        <x:v>1996</x:v>
      </x:c>
      <x:c r="R56" s="55" t="str">
        <x:v>비지하</x:v>
      </x:c>
      <x:c r="S56" s="55" t="str">
        <x:v>중개거래</x:v>
      </x:c>
      <x:c r="T56" s="55" t="str">
        <x:v>서울 용산구</x:v>
      </x:c>
      <x:c r="U56" s="55" t="n">
        <x:v>20296348</x:v>
      </x:c>
      <x:c r="V56" s="55" t="str">
        <x:v>활성</x:v>
      </x:c>
    </x:row>
  </x:sheetData>
  <x:mergeCells>
    <x:mergeCell ref="A1:V1"/>
    <x:mergeCell ref="A2:V2"/>
  </x:mergeCells>
  <x:pageMargins left="0.7" right="0.7" top="0.75" bottom="0.75" header="0.3" footer="0.3"/>
  <x:tableParts count="1">
    <x:tablePart xmlns:r="http://schemas.openxmlformats.org/officeDocument/2006/relationships" r:id="Ra9ea262a1b85446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3" hidden="0" customWidth="1"/>
    <x:col min="3" max="3" width="22" hidden="0" customWidth="1"/>
    <x:col min="4" max="4" width="20" hidden="0" customWidth="1"/>
    <x:col min="5" max="5" width="14" hidden="0" customWidth="1"/>
    <x:col min="6" max="6" width="15" hidden="0" customWidth="1"/>
    <x:col min="7" max="7" width="14" hidden="0" customWidth="1"/>
    <x:col min="8" max="8" width="12" hidden="0" customWidth="1"/>
    <x:col min="9" max="9" width="14" hidden="0" customWidth="1"/>
    <x:col min="10" max="10" width="13" hidden="0" customWidth="1"/>
    <x:col min="11" max="11" width="16" hidden="0" customWidth="1"/>
    <x:col min="12" max="12" width="16" hidden="0" customWidth="1"/>
    <x:col min="13" max="13" width="16" hidden="0" customWidth="1"/>
    <x:col min="14" max="14" width="8" hidden="0" customWidth="1"/>
    <x:col min="15" max="15" width="15" hidden="0" customWidth="1"/>
    <x:col min="16" max="16" width="14" hidden="0" customWidth="1"/>
    <x:col min="17" max="17" width="11" hidden="0" customWidth="1"/>
    <x:col min="18" max="18" width="10" hidden="0" customWidth="1"/>
    <x:col min="19" max="19" width="10" hidden="0" customWidth="1"/>
    <x:col min="20" max="20" width="22" hidden="0" customWidth="1"/>
    <x:col min="21" max="21" width="12" hidden="0" customWidth="1"/>
    <x:col min="22" max="22" width="12" hidden="0" customWidth="1"/>
  </x:cols>
  <x:sheetData>
    <x:row r="1" ht="28" customHeight="1">
      <x:c r="A1" s="4" t="str">
        <x:v>청파2_비교표본 실거래가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</x:row>
    <x:row r="2" ht="32" customHeight="1">
      <x:c r="A2" s="52" t="str">
        <x:v>다세대주택 · 비지하 · 대지지분 15~50㎡ · 24개월 비교표본</x:v>
      </x:c>
      <x:c r="B2" s="52"/>
      <x:c r="C2" s="52"/>
      <x:c r="D2" s="52"/>
      <x:c r="E2" s="52"/>
      <x:c r="F2" s="52"/>
      <x:c r="G2" s="52"/>
      <x:c r="H2" s="52"/>
      <x:c r="I2" s="52"/>
      <x:c r="J2" s="52"/>
      <x:c r="K2" s="52"/>
      <x:c r="L2" s="52"/>
      <x:c r="M2" s="52"/>
      <x:c r="N2" s="52"/>
      <x:c r="O2" s="52"/>
      <x:c r="P2" s="52"/>
      <x:c r="Q2" s="52"/>
      <x:c r="R2" s="52"/>
      <x:c r="S2" s="52"/>
      <x:c r="T2" s="52"/>
      <x:c r="U2" s="52"/>
      <x:c r="V2" s="52"/>
    </x:row>
    <x:row r="4">
      <x:c r="A4" s="13" t="str">
        <x:v>순번</x:v>
      </x:c>
      <x:c r="B4" s="13" t="str">
        <x:v>계약일</x:v>
      </x:c>
      <x:c r="C4" s="13" t="str">
        <x:v>지번</x:v>
      </x:c>
      <x:c r="D4" s="13" t="str">
        <x:v>건물명</x:v>
      </x:c>
      <x:c r="E4" s="13" t="str">
        <x:v>건물 유형</x:v>
      </x:c>
      <x:c r="F4" s="13" t="str">
        <x:v>거래금액 (만원)</x:v>
      </x:c>
      <x:c r="G4" s="13" t="str">
        <x:v>거래금액 (억원)</x:v>
      </x:c>
      <x:c r="H4" s="13" t="str">
        <x:v>주택 유형</x:v>
      </x:c>
      <x:c r="I4" s="13" t="str">
        <x:v>대지지분 (㎡)</x:v>
      </x:c>
      <x:c r="J4" s="13" t="str">
        <x:v>대지지분 (평)</x:v>
      </x:c>
      <x:c r="K4" s="13" t="str">
        <x:v>대지평단가 (만원)</x:v>
      </x:c>
      <x:c r="L4" s="13" t="str">
        <x:v>전용/연면적 (㎡)</x:v>
      </x:c>
      <x:c r="M4" s="13" t="str">
        <x:v>전용평단가 (만원)</x:v>
      </x:c>
      <x:c r="N4" s="13" t="str">
        <x:v>층</x:v>
      </x:c>
      <x:c r="O4" s="13" t="str">
        <x:v>공시가격 (만원)</x:v>
      </x:c>
      <x:c r="P4" s="13" t="str">
        <x:v>공시가 초과율</x:v>
      </x:c>
      <x:c r="Q4" s="13" t="str">
        <x:v>신축연도</x:v>
      </x:c>
      <x:c r="R4" s="13" t="str">
        <x:v>지하 여부</x:v>
      </x:c>
      <x:c r="S4" s="13" t="str">
        <x:v>직거래</x:v>
      </x:c>
      <x:c r="T4" s="13" t="str">
        <x:v>중개 소재지</x:v>
      </x:c>
      <x:c r="U4" s="13" t="str">
        <x:v>거래 ID</x:v>
      </x:c>
      <x:c r="V4" s="13" t="str">
        <x:v>상태</x:v>
      </x:c>
    </x:row>
    <x:row r="5">
      <x:c r="A5" s="55" t="n">
        <x:v>1</x:v>
      </x:c>
      <x:c r="B5" s="56" t="n">
        <x:v>46256</x:v>
      </x:c>
      <x:c r="C5" s="61" t="str">
        <x:v>청파동1가 89-34</x:v>
      </x:c>
      <x:c r="D5" s="61" t="str">
        <x:v>으뜸아트빌리지</x:v>
      </x:c>
      <x:c r="E5" s="55" t="str">
        <x:v>다세대주택</x:v>
      </x:c>
      <x:c r="F5" s="57" t="n">
        <x:v>113000</x:v>
      </x:c>
      <x:c r="G5" s="58" t="n">
        <x:f>IFERROR(F5/10000,"")</x:f>
        <x:v>11.3</x:v>
      </x:c>
      <x:c r="H5" s="55" t="str">
        <x:v>연립</x:v>
      </x:c>
      <x:c r="I5" s="59" t="n">
        <x:v>35.84</x:v>
      </x:c>
      <x:c r="J5" s="59" t="n">
        <x:f>IFERROR(I5/3.3058,"")</x:f>
        <x:v>10.841551213019542</x:v>
      </x:c>
      <x:c r="K5" s="57" t="n">
        <x:f>IFERROR(F5/J5,"")</x:f>
        <x:v>10422.862723214284</x:v>
      </x:c>
      <x:c r="L5" s="59" t="n">
        <x:v>55.59</x:v>
      </x:c>
      <x:c r="M5" s="57" t="n">
        <x:f>IFERROR(F5/(L5/3.3),"")</x:f>
        <x:v>6708.041014570965</x:v>
      </x:c>
      <x:c r="N5" s="55" t="str">
        <x:v>2</x:v>
      </x:c>
      <x:c r="O5" s="57" t="n">
        <x:v>41300</x:v>
      </x:c>
      <x:c r="P5" s="60" t="n">
        <x:f>IFERROR(F5/O5-1,"")</x:f>
        <x:v>1.7360774818401938</x:v>
      </x:c>
      <x:c r="Q5" s="55" t="n">
        <x:v>1997</x:v>
      </x:c>
      <x:c r="R5" s="55" t="str">
        <x:v>비지하</x:v>
      </x:c>
      <x:c r="S5" s="55" t="str">
        <x:v>중개거래</x:v>
      </x:c>
      <x:c r="T5" s="55" t="str">
        <x:v>서울 용산구</x:v>
      </x:c>
      <x:c r="U5" s="55" t="n">
        <x:v>30144339</x:v>
      </x:c>
      <x:c r="V5" s="55" t="str">
        <x:v>활성</x:v>
      </x:c>
    </x:row>
    <x:row r="6">
      <x:c r="A6" s="55" t="n">
        <x:v>2</x:v>
      </x:c>
      <x:c r="B6" s="56" t="n">
        <x:v>46225</x:v>
      </x:c>
      <x:c r="C6" s="61" t="str">
        <x:v>청파동1가 1-61</x:v>
      </x:c>
      <x:c r="D6" s="61" t="str">
        <x:v>대성그린빌라</x:v>
      </x:c>
      <x:c r="E6" s="55" t="str">
        <x:v>다세대주택</x:v>
      </x:c>
      <x:c r="F6" s="57" t="n">
        <x:v>109000</x:v>
      </x:c>
      <x:c r="G6" s="58" t="n">
        <x:f>IFERROR(F6/10000,"")</x:f>
        <x:v>10.9</x:v>
      </x:c>
      <x:c r="H6" s="55" t="str">
        <x:v>연립</x:v>
      </x:c>
      <x:c r="I6" s="59" t="n">
        <x:v>31.1</x:v>
      </x:c>
      <x:c r="J6" s="59" t="n">
        <x:f>IFERROR(I6/3.3058,"")</x:f>
        <x:v>9.407707665315506</x:v>
      </x:c>
      <x:c r="K6" s="57" t="n">
        <x:f>IFERROR(F6/J6,"")</x:f>
        <x:v>11586.244372990353</x:v>
      </x:c>
      <x:c r="L6" s="59" t="n">
        <x:v>62.8</x:v>
      </x:c>
      <x:c r="M6" s="57" t="n">
        <x:f>IFERROR(F6/(L6/3.3),"")</x:f>
        <x:v>5727.707006369426</x:v>
      </x:c>
      <x:c r="N6" s="55" t="str">
        <x:v>2</x:v>
      </x:c>
      <x:c r="O6" s="57" t="n">
        <x:v>41200</x:v>
      </x:c>
      <x:c r="P6" s="60" t="n">
        <x:f>IFERROR(F6/O6-1,"")</x:f>
        <x:v>1.645631067961165</x:v>
      </x:c>
      <x:c r="Q6" s="55" t="n">
        <x:v>1997</x:v>
      </x:c>
      <x:c r="R6" s="55" t="str">
        <x:v>비지하</x:v>
      </x:c>
      <x:c r="S6" s="55" t="str">
        <x:v>중개거래</x:v>
      </x:c>
      <x:c r="T6" s="55" t="str">
        <x:v>서울 용산구</x:v>
      </x:c>
      <x:c r="U6" s="55" t="n">
        <x:v>30156236</x:v>
      </x:c>
      <x:c r="V6" s="55" t="str">
        <x:v>활성</x:v>
      </x:c>
    </x:row>
    <x:row r="7">
      <x:c r="A7" s="55" t="n">
        <x:v>3</x:v>
      </x:c>
      <x:c r="B7" s="56" t="n">
        <x:v>46216</x:v>
      </x:c>
      <x:c r="C7" s="61" t="str">
        <x:v>청파동1가 89-5</x:v>
      </x:c>
      <x:c r="D7" s="61" t="str">
        <x:v>동궁빌라</x:v>
      </x:c>
      <x:c r="E7" s="55" t="str">
        <x:v>다세대주택</x:v>
      </x:c>
      <x:c r="F7" s="57" t="n">
        <x:v>139000</x:v>
      </x:c>
      <x:c r="G7" s="58" t="n">
        <x:f>IFERROR(F7/10000,"")</x:f>
        <x:v>13.9</x:v>
      </x:c>
      <x:c r="H7" s="55" t="str">
        <x:v>다세대</x:v>
      </x:c>
      <x:c r="I7" s="59" t="n">
        <x:v>46.252</x:v>
      </x:c>
      <x:c r="J7" s="59" t="n">
        <x:f>IFERROR(I7/3.3058,"")</x:f>
        <x:v>13.991167039748321</x:v>
      </x:c>
      <x:c r="K7" s="57" t="n">
        <x:f>IFERROR(F7/J7,"")</x:f>
        <x:v>9934.839574504886</x:v>
      </x:c>
      <x:c r="L7" s="59" t="n">
        <x:v>69.85</x:v>
      </x:c>
      <x:c r="M7" s="57" t="n">
        <x:f>IFERROR(F7/(L7/3.3),"")</x:f>
        <x:v>6566.929133858267</x:v>
      </x:c>
      <x:c r="N7" s="55" t="str">
        <x:v>4</x:v>
      </x:c>
      <x:c r="O7" s="57" t="n">
        <x:v>64500</x:v>
      </x:c>
      <x:c r="P7" s="60" t="n">
        <x:f>IFERROR(F7/O7-1,"")</x:f>
        <x:v>1.1550387596899223</x:v>
      </x:c>
      <x:c r="Q7" s="55" t="n">
        <x:v>2009</x:v>
      </x:c>
      <x:c r="R7" s="55" t="str">
        <x:v>비지하</x:v>
      </x:c>
      <x:c r="S7" s="55" t="str">
        <x:v>중개거래</x:v>
      </x:c>
      <x:c r="T7" s="55" t="str">
        <x:v>서울 마포구, 서울 용산구</x:v>
      </x:c>
      <x:c r="U7" s="55" t="n">
        <x:v>30156250</x:v>
      </x:c>
      <x:c r="V7" s="55" t="str">
        <x:v>활성</x:v>
      </x:c>
    </x:row>
    <x:row r="8">
      <x:c r="A8" s="55" t="n">
        <x:v>4</x:v>
      </x:c>
      <x:c r="B8" s="56" t="n">
        <x:v>46198</x:v>
      </x:c>
      <x:c r="C8" s="61" t="str">
        <x:v>청파동1가 3-2</x:v>
      </x:c>
      <x:c r="D8" s="61" t="str">
        <x:v>차세대빌라트</x:v>
      </x:c>
      <x:c r="E8" s="55" t="str">
        <x:v>다세대주택</x:v>
      </x:c>
      <x:c r="F8" s="57" t="n">
        <x:v>97000</x:v>
      </x:c>
      <x:c r="G8" s="58" t="n">
        <x:f>IFERROR(F8/10000,"")</x:f>
        <x:v>9.7</x:v>
      </x:c>
      <x:c r="H8" s="55" t="str">
        <x:v>연립</x:v>
      </x:c>
      <x:c r="I8" s="59" t="n">
        <x:v>33.12</x:v>
      </x:c>
      <x:c r="J8" s="59" t="n">
        <x:f>IFERROR(I8/3.3058,"")</x:f>
        <x:v>10.018754915602878</x:v>
      </x:c>
      <x:c r="K8" s="57" t="n">
        <x:f>IFERROR(F8/J8,"")</x:f>
        <x:v>9681.841787439615</x:v>
      </x:c>
      <x:c r="L8" s="59" t="n">
        <x:v>54.5</x:v>
      </x:c>
      <x:c r="M8" s="57" t="n">
        <x:f>IFERROR(F8/(L8/3.3),"")</x:f>
        <x:v>5873.394495412844</x:v>
      </x:c>
      <x:c r="N8" s="55" t="str">
        <x:v>3</x:v>
      </x:c>
      <x:c r="O8" s="57" t="n">
        <x:v>42000</x:v>
      </x:c>
      <x:c r="P8" s="60" t="n">
        <x:f>IFERROR(F8/O8-1,"")</x:f>
        <x:v>1.3095238095238093</x:v>
      </x:c>
      <x:c r="Q8" s="55" t="n">
        <x:v>1998</x:v>
      </x:c>
      <x:c r="R8" s="55" t="str">
        <x:v>비지하</x:v>
      </x:c>
      <x:c r="S8" s="55" t="str">
        <x:v>중개거래</x:v>
      </x:c>
      <x:c r="T8" s="55" t="str">
        <x:v>서울 용산구</x:v>
      </x:c>
      <x:c r="U8" s="55" t="n">
        <x:v>30038534</x:v>
      </x:c>
      <x:c r="V8" s="55" t="str">
        <x:v>활성</x:v>
      </x:c>
    </x:row>
    <x:row r="9">
      <x:c r="A9" s="55" t="n">
        <x:v>5</x:v>
      </x:c>
      <x:c r="B9" s="56" t="n">
        <x:v>46196</x:v>
      </x:c>
      <x:c r="C9" s="61" t="str">
        <x:v>청파동1가 4-2</x:v>
      </x:c>
      <x:c r="D9" s="61" t="str">
        <x:v>안드레아빌라</x:v>
      </x:c>
      <x:c r="E9" s="55" t="str">
        <x:v>다세대주택</x:v>
      </x:c>
      <x:c r="F9" s="57" t="n">
        <x:v>98000</x:v>
      </x:c>
      <x:c r="G9" s="58" t="n">
        <x:f>IFERROR(F9/10000,"")</x:f>
        <x:v>9.8</x:v>
      </x:c>
      <x:c r="H9" s="55" t="str">
        <x:v>다세대</x:v>
      </x:c>
      <x:c r="I9" s="59" t="n">
        <x:v>30.37</x:v>
      </x:c>
      <x:c r="J9" s="59" t="n">
        <x:f>IFERROR(I9/3.3058,"")</x:f>
        <x:v>9.186883659023534</x:v>
      </x:c>
      <x:c r="K9" s="57" t="n">
        <x:f>IFERROR(F9/J9,"")</x:f>
        <x:v>10667.382285149819</x:v>
      </x:c>
      <x:c r="L9" s="59" t="n">
        <x:v>59.85</x:v>
      </x:c>
      <x:c r="M9" s="57" t="n">
        <x:f>IFERROR(F9/(L9/3.3),"")</x:f>
        <x:v>5403.508771929824</x:v>
      </x:c>
      <x:c r="N9" s="55" t="str">
        <x:v>2</x:v>
      </x:c>
      <x:c r="O9" s="57" t="n">
        <x:v>43300</x:v>
      </x:c>
      <x:c r="P9" s="60" t="n">
        <x:f>IFERROR(F9/O9-1,"")</x:f>
        <x:v>1.2632794457274827</x:v>
      </x:c>
      <x:c r="Q9" s="55" t="n">
        <x:v>2001</x:v>
      </x:c>
      <x:c r="R9" s="55" t="str">
        <x:v>비지하</x:v>
      </x:c>
      <x:c r="S9" s="55" t="str">
        <x:v>중개거래</x:v>
      </x:c>
      <x:c r="T9" s="55" t="str">
        <x:v>서울 용산구</x:v>
      </x:c>
      <x:c r="U9" s="55" t="n">
        <x:v>30038566</x:v>
      </x:c>
      <x:c r="V9" s="55" t="str">
        <x:v>활성</x:v>
      </x:c>
    </x:row>
    <x:row r="10">
      <x:c r="A10" s="55" t="n">
        <x:v>6</x:v>
      </x:c>
      <x:c r="B10" s="56" t="n">
        <x:v>46182</x:v>
      </x:c>
      <x:c r="C10" s="61" t="str">
        <x:v>청파동1가 89-53</x:v>
      </x:c>
      <x:c r="D10" s="61" t="str">
        <x:v>(89-53)</x:v>
      </x:c>
      <x:c r="E10" s="55" t="str">
        <x:v>다세대주택</x:v>
      </x:c>
      <x:c r="F10" s="57" t="n">
        <x:v>86000</x:v>
      </x:c>
      <x:c r="G10" s="58" t="n">
        <x:f>IFERROR(F10/10000,"")</x:f>
        <x:v>8.6</x:v>
      </x:c>
      <x:c r="H10" s="55" t="str">
        <x:v>다세대</x:v>
      </x:c>
      <x:c r="I10" s="59" t="n">
        <x:v>26.98</x:v>
      </x:c>
      <x:c r="J10" s="59" t="n">
        <x:f>IFERROR(I10/3.3058,"")</x:f>
        <x:v>8.16141327364027</x:v>
      </x:c>
      <x:c r="K10" s="57" t="n">
        <x:f>IFERROR(F10/J10,"")</x:f>
        <x:v>10537.39065974796</x:v>
      </x:c>
      <x:c r="L10" s="59" t="n">
        <x:v>57.27</x:v>
      </x:c>
      <x:c r="M10" s="57" t="n">
        <x:f>IFERROR(F10/(L10/3.3),"")</x:f>
        <x:v>4955.474070193818</x:v>
      </x:c>
      <x:c r="N10" s="55" t="str">
        <x:v>1</x:v>
      </x:c>
      <x:c r="O10" s="57" t="n">
        <x:v>34300</x:v>
      </x:c>
      <x:c r="P10" s="60" t="n">
        <x:f>IFERROR(F10/O10-1,"")</x:f>
        <x:v>1.5072886297376091</x:v>
      </x:c>
      <x:c r="Q10" s="55" t="n">
        <x:v>2002</x:v>
      </x:c>
      <x:c r="R10" s="55" t="str">
        <x:v>비지하</x:v>
      </x:c>
      <x:c r="S10" s="55" t="str">
        <x:v>중개거래</x:v>
      </x:c>
      <x:c r="T10" s="55" t="str">
        <x:v>서울 마포구</x:v>
      </x:c>
      <x:c r="U10" s="55" t="n">
        <x:v>30038648</x:v>
      </x:c>
      <x:c r="V10" s="55" t="str">
        <x:v>활성</x:v>
      </x:c>
    </x:row>
    <x:row r="11">
      <x:c r="A11" s="55" t="n">
        <x:v>7</x:v>
      </x:c>
      <x:c r="B11" s="56" t="n">
        <x:v>46179</x:v>
      </x:c>
      <x:c r="C11" s="61" t="str">
        <x:v>청파동1가 1-96</x:v>
      </x:c>
      <x:c r="D11" s="61" t="str">
        <x:v>(1-96)</x:v>
      </x:c>
      <x:c r="E11" s="55" t="str">
        <x:v>다세대주택</x:v>
      </x:c>
      <x:c r="F11" s="57" t="n">
        <x:v>81500</x:v>
      </x:c>
      <x:c r="G11" s="58" t="n">
        <x:f>IFERROR(F11/10000,"")</x:f>
        <x:v>8.15</x:v>
      </x:c>
      <x:c r="H11" s="55" t="str">
        <x:v>다세대</x:v>
      </x:c>
      <x:c r="I11" s="59" t="n">
        <x:v>33.53</x:v>
      </x:c>
      <x:c r="J11" s="59" t="n">
        <x:f>IFERROR(I11/3.3058,"")</x:f>
        <x:v>10.142779357492891</x:v>
      </x:c>
      <x:c r="K11" s="57" t="n">
        <x:f>IFERROR(F11/J11,"")</x:f>
        <x:v>8035.2728899492995</x:v>
      </x:c>
      <x:c r="L11" s="59" t="n">
        <x:v>55.08</x:v>
      </x:c>
      <x:c r="M11" s="57" t="n">
        <x:f>IFERROR(F11/(L11/3.3),"")</x:f>
        <x:v>4882.897603485839</x:v>
      </x:c>
      <x:c r="N11" s="55" t="str">
        <x:v>1</x:v>
      </x:c>
      <x:c r="O11" s="57" t="n">
        <x:v>41400</x:v>
      </x:c>
      <x:c r="P11" s="60" t="n">
        <x:f>IFERROR(F11/O11-1,"")</x:f>
        <x:v>0.9685990338164252</x:v>
      </x:c>
      <x:c r="Q11" s="55" t="n">
        <x:v>1991</x:v>
      </x:c>
      <x:c r="R11" s="55" t="str">
        <x:v>비지하</x:v>
      </x:c>
      <x:c r="S11" s="55" t="str">
        <x:v>중개거래</x:v>
      </x:c>
      <x:c r="T11" s="55" t="str">
        <x:v>서울 강남구, 서울 용산구</x:v>
      </x:c>
      <x:c r="U11" s="55" t="n">
        <x:v>30038669</x:v>
      </x:c>
      <x:c r="V11" s="55" t="str">
        <x:v>활성</x:v>
      </x:c>
    </x:row>
    <x:row r="12">
      <x:c r="A12" s="55" t="n">
        <x:v>8</x:v>
      </x:c>
      <x:c r="B12" s="56" t="n">
        <x:v>46179</x:v>
      </x:c>
      <x:c r="C12" s="61" t="str">
        <x:v>청파동1가 3-39</x:v>
      </x:c>
      <x:c r="D12" s="61" t="str">
        <x:v>(3-39)</x:v>
      </x:c>
      <x:c r="E12" s="55" t="str">
        <x:v>다세대주택</x:v>
      </x:c>
      <x:c r="F12" s="57" t="n">
        <x:v>94000</x:v>
      </x:c>
      <x:c r="G12" s="58" t="n">
        <x:f>IFERROR(F12/10000,"")</x:f>
        <x:v>9.4</x:v>
      </x:c>
      <x:c r="H12" s="55" t="str">
        <x:v>다세대</x:v>
      </x:c>
      <x:c r="I12" s="59" t="n">
        <x:v>49.5</x:v>
      </x:c>
      <x:c r="J12" s="59" t="n">
        <x:f>IFERROR(I12/3.3058,"")</x:f>
        <x:v>14.973682618428217</x:v>
      </x:c>
      <x:c r="K12" s="57" t="n">
        <x:f>IFERROR(F12/J12,"")</x:f>
        <x:v>6277.680808080808</x:v>
      </x:c>
      <x:c r="L12" s="59" t="n">
        <x:v>50.04</x:v>
      </x:c>
      <x:c r="M12" s="57" t="n">
        <x:f>IFERROR(F12/(L12/3.3),"")</x:f>
        <x:v>6199.040767386091</x:v>
      </x:c>
      <x:c r="N12" s="55" t="str">
        <x:v>4</x:v>
      </x:c>
      <x:c r="O12" s="57" t="n">
        <x:v>47300</x:v>
      </x:c>
      <x:c r="P12" s="60" t="n">
        <x:f>IFERROR(F12/O12-1,"")</x:f>
        <x:v>0.9873150105708246</x:v>
      </x:c>
      <x:c r="Q12" s="55" t="n">
        <x:v>2008</x:v>
      </x:c>
      <x:c r="R12" s="55" t="str">
        <x:v>비지하</x:v>
      </x:c>
      <x:c r="S12" s="55" t="str">
        <x:v>중개거래</x:v>
      </x:c>
      <x:c r="T12" s="55" t="str">
        <x:v>서울 용산구</x:v>
      </x:c>
      <x:c r="U12" s="55" t="n">
        <x:v>30038664</x:v>
      </x:c>
      <x:c r="V12" s="55" t="str">
        <x:v>활성</x:v>
      </x:c>
    </x:row>
    <x:row r="13">
      <x:c r="A13" s="55" t="n">
        <x:v>9</x:v>
      </x:c>
      <x:c r="B13" s="56" t="n">
        <x:v>46179</x:v>
      </x:c>
      <x:c r="C13" s="61" t="str">
        <x:v>청파동1가 204-9</x:v>
      </x:c>
      <x:c r="D13" s="61" t="str">
        <x:v>(204-9)</x:v>
      </x:c>
      <x:c r="E13" s="55" t="str">
        <x:v>다세대주택</x:v>
      </x:c>
      <x:c r="F13" s="57" t="n">
        <x:v>84500</x:v>
      </x:c>
      <x:c r="G13" s="58" t="n">
        <x:f>IFERROR(F13/10000,"")</x:f>
        <x:v>8.45</x:v>
      </x:c>
      <x:c r="H13" s="55" t="str">
        <x:v>다세대</x:v>
      </x:c>
      <x:c r="I13" s="59" t="n">
        <x:v>41.85</x:v>
      </x:c>
      <x:c r="J13" s="59" t="n">
        <x:f>IFERROR(I13/3.3058,"")</x:f>
        <x:v>12.659568031943856</x:v>
      </x:c>
      <x:c r="K13" s="57" t="n">
        <x:f>IFERROR(F13/J13,"")</x:f>
        <x:v>6674.793309438471</x:v>
      </x:c>
      <x:c r="L13" s="59" t="n">
        <x:v>86.68</x:v>
      </x:c>
      <x:c r="M13" s="57" t="n">
        <x:f>IFERROR(F13/(L13/3.3),"")</x:f>
        <x:v>3217.0050761421317</x:v>
      </x:c>
      <x:c r="N13" s="55" t="str">
        <x:v>1</x:v>
      </x:c>
      <x:c r="O13" s="57" t="n">
        <x:v>47300</x:v>
      </x:c>
      <x:c r="P13" s="60" t="n">
        <x:f>IFERROR(F13/O13-1,"")</x:f>
        <x:v>0.7864693446088795</x:v>
      </x:c>
      <x:c r="Q13" s="55" t="n">
        <x:v>1981</x:v>
      </x:c>
      <x:c r="R13" s="55" t="str">
        <x:v>비지하</x:v>
      </x:c>
      <x:c r="S13" s="55" t="str">
        <x:v>중개거래</x:v>
      </x:c>
      <x:c r="T13" s="55" t="str">
        <x:v>서울 용산구</x:v>
      </x:c>
      <x:c r="U13" s="55" t="n">
        <x:v>30038630</x:v>
      </x:c>
      <x:c r="V13" s="55" t="str">
        <x:v>활성</x:v>
      </x:c>
    </x:row>
    <x:row r="14">
      <x:c r="A14" s="55" t="n">
        <x:v>10</x:v>
      </x:c>
      <x:c r="B14" s="56" t="n">
        <x:v>46177</x:v>
      </x:c>
      <x:c r="C14" s="61" t="str">
        <x:v>청파동1가 132-14</x:v>
      </x:c>
      <x:c r="D14" s="61" t="str">
        <x:v>미샹보르2차</x:v>
      </x:c>
      <x:c r="E14" s="55" t="str">
        <x:v>다세대주택</x:v>
      </x:c>
      <x:c r="F14" s="57" t="n">
        <x:v>83000</x:v>
      </x:c>
      <x:c r="G14" s="58" t="n">
        <x:f>IFERROR(F14/10000,"")</x:f>
        <x:v>8.3</x:v>
      </x:c>
      <x:c r="H14" s="55" t="str">
        <x:v>다세대</x:v>
      </x:c>
      <x:c r="I14" s="59" t="n">
        <x:v>20.6514</x:v>
      </x:c>
      <x:c r="J14" s="59" t="n">
        <x:f>IFERROR(I14/3.3058,"")</x:f>
        <x:v>6.247020388408251</x:v>
      </x:c>
      <x:c r="K14" s="57" t="n">
        <x:f>IFERROR(F14/J14,"")</x:f>
        <x:v>13286.334098414636</x:v>
      </x:c>
      <x:c r="L14" s="59" t="n">
        <x:v>29.36</x:v>
      </x:c>
      <x:c r="M14" s="57" t="n">
        <x:f>IFERROR(F14/(L14/3.3),"")</x:f>
        <x:v>9329.019073569483</x:v>
      </x:c>
      <x:c r="N14" s="55" t="str">
        <x:v>3</x:v>
      </x:c>
      <x:c r="O14" s="57" t="n">
        <x:v>43300</x:v>
      </x:c>
      <x:c r="P14" s="60" t="n">
        <x:f>IFERROR(F14/O14-1,"")</x:f>
        <x:v>0.9168591224018476</x:v>
      </x:c>
      <x:c r="Q14" s="55" t="n">
        <x:v>2019</x:v>
      </x:c>
      <x:c r="R14" s="55" t="str">
        <x:v>비지하</x:v>
      </x:c>
      <x:c r="S14" s="55" t="str">
        <x:v>중개거래</x:v>
      </x:c>
      <x:c r="T14" s="55" t="str">
        <x:v>서울 마포구</x:v>
      </x:c>
      <x:c r="U14" s="55" t="n">
        <x:v>30038671</x:v>
      </x:c>
      <x:c r="V14" s="55" t="str">
        <x:v>활성</x:v>
      </x:c>
    </x:row>
    <x:row r="15">
      <x:c r="A15" s="55" t="n">
        <x:v>11</x:v>
      </x:c>
      <x:c r="B15" s="56" t="n">
        <x:v>46170</x:v>
      </x:c>
      <x:c r="C15" s="61" t="str">
        <x:v>청파동1가 89-31</x:v>
      </x:c>
      <x:c r="D15" s="61" t="str">
        <x:v>프라임빌(89-31)</x:v>
      </x:c>
      <x:c r="E15" s="55" t="str">
        <x:v>다세대주택</x:v>
      </x:c>
      <x:c r="F15" s="57" t="n">
        <x:v>83000</x:v>
      </x:c>
      <x:c r="G15" s="58" t="n">
        <x:f>IFERROR(F15/10000,"")</x:f>
        <x:v>8.3</x:v>
      </x:c>
      <x:c r="H15" s="55" t="str">
        <x:v>다세대</x:v>
      </x:c>
      <x:c r="I15" s="59" t="n">
        <x:v>33.06</x:v>
      </x:c>
      <x:c r="J15" s="59" t="n">
        <x:f>IFERROR(I15/3.3058,"")</x:f>
        <x:v>10.000604997277513</x:v>
      </x:c>
      <x:c r="K15" s="57" t="n">
        <x:f>IFERROR(F15/J15,"")</x:f>
        <x:v>8299.497882637628</x:v>
      </x:c>
      <x:c r="L15" s="59" t="n">
        <x:v>62.26</x:v>
      </x:c>
      <x:c r="M15" s="57" t="n">
        <x:f>IFERROR(F15/(L15/3.3),"")</x:f>
        <x:v>4399.293286219081</x:v>
      </x:c>
      <x:c r="N15" s="55" t="str">
        <x:v>3</x:v>
      </x:c>
      <x:c r="O15" s="57" t="n">
        <x:v>50100</x:v>
      </x:c>
      <x:c r="P15" s="60" t="n">
        <x:f>IFERROR(F15/O15-1,"")</x:f>
        <x:v>0.656686626746507</x:v>
      </x:c>
      <x:c r="Q15" s="55" t="n">
        <x:v>2008</x:v>
      </x:c>
      <x:c r="R15" s="55" t="str">
        <x:v>비지하</x:v>
      </x:c>
      <x:c r="S15" s="55" t="str">
        <x:v>중개거래</x:v>
      </x:c>
      <x:c r="T15" s="55" t="str">
        <x:v>서울 용산구</x:v>
      </x:c>
      <x:c r="U15" s="55" t="n">
        <x:v>27664128</x:v>
      </x:c>
      <x:c r="V15" s="55" t="str">
        <x:v>활성</x:v>
      </x:c>
    </x:row>
    <x:row r="16">
      <x:c r="A16" s="55" t="n">
        <x:v>12</x:v>
      </x:c>
      <x:c r="B16" s="56" t="n">
        <x:v>46163</x:v>
      </x:c>
      <x:c r="C16" s="61" t="str">
        <x:v>청파동1가 132-14</x:v>
      </x:c>
      <x:c r="D16" s="61" t="str">
        <x:v>미샹보르2차</x:v>
      </x:c>
      <x:c r="E16" s="55" t="str">
        <x:v>다세대주택</x:v>
      </x:c>
      <x:c r="F16" s="57" t="n">
        <x:v>45000</x:v>
      </x:c>
      <x:c r="G16" s="58" t="n">
        <x:f>IFERROR(F16/10000,"")</x:f>
        <x:v>4.5</x:v>
      </x:c>
      <x:c r="H16" s="55" t="str">
        <x:v>다세대</x:v>
      </x:c>
      <x:c r="I16" s="59" t="n">
        <x:v>19.6616</x:v>
      </x:c>
      <x:c r="J16" s="59" t="n">
        <x:f>IFERROR(I16/3.3058,"")</x:f>
        <x:v>5.947607235767439</x:v>
      </x:c>
      <x:c r="K16" s="57" t="n">
        <x:f>IFERROR(F16/J16,"")</x:f>
        <x:v>7566.06786833218</x:v>
      </x:c>
      <x:c r="L16" s="59" t="n">
        <x:v>25.33</x:v>
      </x:c>
      <x:c r="M16" s="57" t="n">
        <x:f>IFERROR(F16/(L16/3.3),"")</x:f>
        <x:v>5862.613501776549</x:v>
      </x:c>
      <x:c r="N16" s="55" t="str">
        <x:v>2</x:v>
      </x:c>
      <x:c r="O16" s="57" t="n">
        <x:v>37400</x:v>
      </x:c>
      <x:c r="P16" s="60" t="n">
        <x:f>IFERROR(F16/O16-1,"")</x:f>
        <x:v>0.20320855614973254</x:v>
      </x:c>
      <x:c r="Q16" s="55" t="n">
        <x:v>2019</x:v>
      </x:c>
      <x:c r="R16" s="55" t="str">
        <x:v>비지하</x:v>
      </x:c>
      <x:c r="S16" s="55" t="str">
        <x:v>직거래</x:v>
      </x:c>
      <x:c r="T16" s="55" t="str"/>
      <x:c r="U16" s="55" t="n">
        <x:v>27664090</x:v>
      </x:c>
      <x:c r="V16" s="55" t="str">
        <x:v>활성</x:v>
      </x:c>
    </x:row>
    <x:row r="17">
      <x:c r="A17" s="55" t="n">
        <x:v>13</x:v>
      </x:c>
      <x:c r="B17" s="56" t="n">
        <x:v>46161</x:v>
      </x:c>
      <x:c r="C17" s="61" t="str">
        <x:v>청파동1가 89-153</x:v>
      </x:c>
      <x:c r="D17" s="61" t="str">
        <x:v>(89-153)</x:v>
      </x:c>
      <x:c r="E17" s="55" t="str">
        <x:v>다세대주택</x:v>
      </x:c>
      <x:c r="F17" s="57" t="n">
        <x:v>68000</x:v>
      </x:c>
      <x:c r="G17" s="58" t="n">
        <x:f>IFERROR(F17/10000,"")</x:f>
        <x:v>6.8</x:v>
      </x:c>
      <x:c r="H17" s="55" t="str">
        <x:v>다세대</x:v>
      </x:c>
      <x:c r="I17" s="59" t="n">
        <x:v>26.12</x:v>
      </x:c>
      <x:c r="J17" s="59" t="n">
        <x:f>IFERROR(I17/3.3058,"")</x:f>
        <x:v>7.901264444310001</x:v>
      </x:c>
      <x:c r="K17" s="57" t="n">
        <x:f>IFERROR(F17/J17,"")</x:f>
        <x:v>8606.217457886676</x:v>
      </x:c>
      <x:c r="L17" s="59" t="n">
        <x:v>18.97</x:v>
      </x:c>
      <x:c r="M17" s="57" t="n">
        <x:f>IFERROR(F17/(L17/3.3),"")</x:f>
        <x:v>11829.20400632578</x:v>
      </x:c>
      <x:c r="N17" s="55" t="str">
        <x:v>2</x:v>
      </x:c>
      <x:c r="O17" s="57" t="n">
        <x:v>31800</x:v>
      </x:c>
      <x:c r="P17" s="60" t="n">
        <x:f>IFERROR(F17/O17-1,"")</x:f>
        <x:v>1.1383647798742138</x:v>
      </x:c>
      <x:c r="Q17" s="55" t="n">
        <x:v>2008</x:v>
      </x:c>
      <x:c r="R17" s="55" t="str">
        <x:v>비지하</x:v>
      </x:c>
      <x:c r="S17" s="55" t="str">
        <x:v>중개거래</x:v>
      </x:c>
      <x:c r="T17" s="55" t="str">
        <x:v>서울 용산구</x:v>
      </x:c>
      <x:c r="U17" s="55" t="n">
        <x:v>27664149</x:v>
      </x:c>
      <x:c r="V17" s="55" t="str">
        <x:v>활성</x:v>
      </x:c>
    </x:row>
    <x:row r="18">
      <x:c r="A18" s="55" t="n">
        <x:v>14</x:v>
      </x:c>
      <x:c r="B18" s="56" t="n">
        <x:v>46158</x:v>
      </x:c>
      <x:c r="C18" s="61" t="str">
        <x:v>청파동1가 91-54</x:v>
      </x:c>
      <x:c r="D18" s="61" t="str">
        <x:v>청파시온빌</x:v>
      </x:c>
      <x:c r="E18" s="55" t="str">
        <x:v>다세대주택</x:v>
      </x:c>
      <x:c r="F18" s="57" t="n">
        <x:v>76000</x:v>
      </x:c>
      <x:c r="G18" s="58" t="n">
        <x:f>IFERROR(F18/10000,"")</x:f>
        <x:v>7.6</x:v>
      </x:c>
      <x:c r="H18" s="55" t="str">
        <x:v>다세대</x:v>
      </x:c>
      <x:c r="I18" s="59" t="n">
        <x:v>20.26</x:v>
      </x:c>
      <x:c r="J18" s="59" t="n">
        <x:f>IFERROR(I18/3.3058,"")</x:f>
        <x:v>6.128622421199105</x:v>
      </x:c>
      <x:c r="K18" s="57" t="n">
        <x:f>IFERROR(F18/J18,"")</x:f>
        <x:v>12400.829220138203</x:v>
      </x:c>
      <x:c r="L18" s="59" t="n">
        <x:v>25.98</x:v>
      </x:c>
      <x:c r="M18" s="57" t="n">
        <x:f>IFERROR(F18/(L18/3.3),"")</x:f>
        <x:v>9653.579676674364</x:v>
      </x:c>
      <x:c r="N18" s="55" t="str">
        <x:v>2</x:v>
      </x:c>
      <x:c r="O18" s="57" t="n">
        <x:v>31500</x:v>
      </x:c>
      <x:c r="P18" s="60" t="n">
        <x:f>IFERROR(F18/O18-1,"")</x:f>
        <x:v>1.4126984126984126</x:v>
      </x:c>
      <x:c r="Q18" s="55" t="n">
        <x:v>2017</x:v>
      </x:c>
      <x:c r="R18" s="55" t="str">
        <x:v>비지하</x:v>
      </x:c>
      <x:c r="S18" s="55" t="str">
        <x:v>중개거래</x:v>
      </x:c>
      <x:c r="T18" s="55" t="str">
        <x:v>서울 용산구</x:v>
      </x:c>
      <x:c r="U18" s="55" t="n">
        <x:v>27664117</x:v>
      </x:c>
      <x:c r="V18" s="55" t="str">
        <x:v>활성</x:v>
      </x:c>
    </x:row>
    <x:row r="19">
      <x:c r="A19" s="55" t="n">
        <x:v>15</x:v>
      </x:c>
      <x:c r="B19" s="56" t="n">
        <x:v>46155</x:v>
      </x:c>
      <x:c r="C19" s="61" t="str">
        <x:v>청파동1가 1-53</x:v>
      </x:c>
      <x:c r="D19" s="61" t="str">
        <x:v>효성빌라트</x:v>
      </x:c>
      <x:c r="E19" s="55" t="str">
        <x:v>다세대주택</x:v>
      </x:c>
      <x:c r="F19" s="57" t="n">
        <x:v>95000</x:v>
      </x:c>
      <x:c r="G19" s="58" t="n">
        <x:f>IFERROR(F19/10000,"")</x:f>
        <x:v>9.5</x:v>
      </x:c>
      <x:c r="H19" s="55" t="str">
        <x:v>다세대</x:v>
      </x:c>
      <x:c r="I19" s="59" t="n">
        <x:v>30.2</x:v>
      </x:c>
      <x:c r="J19" s="59" t="n">
        <x:f>IFERROR(I19/3.3058,"")</x:f>
        <x:v>9.135458890434993</x:v>
      </x:c>
      <x:c r="K19" s="57" t="n">
        <x:f>IFERROR(F19/J19,"")</x:f>
        <x:v>10399.039735099337</x:v>
      </x:c>
      <x:c r="L19" s="59" t="n">
        <x:v>65.05</x:v>
      </x:c>
      <x:c r="M19" s="57" t="n">
        <x:f>IFERROR(F19/(L19/3.3),"")</x:f>
        <x:v>4819.369715603382</x:v>
      </x:c>
      <x:c r="N19" s="55" t="str">
        <x:v>2</x:v>
      </x:c>
      <x:c r="O19" s="57" t="n">
        <x:v>40500</x:v>
      </x:c>
      <x:c r="P19" s="60" t="n">
        <x:f>IFERROR(F19/O19-1,"")</x:f>
        <x:v>1.3456790123456792</x:v>
      </x:c>
      <x:c r="Q19" s="55" t="n">
        <x:v>2001</x:v>
      </x:c>
      <x:c r="R19" s="55" t="str">
        <x:v>비지하</x:v>
      </x:c>
      <x:c r="S19" s="55" t="str">
        <x:v>중개거래</x:v>
      </x:c>
      <x:c r="T19" s="55" t="str">
        <x:v>서울 서대문구, 서울 용산구</x:v>
      </x:c>
      <x:c r="U19" s="55" t="n">
        <x:v>27664158</x:v>
      </x:c>
      <x:c r="V19" s="55" t="str">
        <x:v>활성</x:v>
      </x:c>
    </x:row>
    <x:row r="20">
      <x:c r="A20" s="55" t="n">
        <x:v>16</x:v>
      </x:c>
      <x:c r="B20" s="56" t="n">
        <x:v>46137</x:v>
      </x:c>
      <x:c r="C20" s="61" t="str">
        <x:v>청파동1가 1-65</x:v>
      </x:c>
      <x:c r="D20" s="61" t="str">
        <x:v>(1-65)</x:v>
      </x:c>
      <x:c r="E20" s="55" t="str">
        <x:v>다세대주택</x:v>
      </x:c>
      <x:c r="F20" s="57" t="n">
        <x:v>99500</x:v>
      </x:c>
      <x:c r="G20" s="58" t="n">
        <x:f>IFERROR(F20/10000,"")</x:f>
        <x:v>9.95</x:v>
      </x:c>
      <x:c r="H20" s="55" t="str">
        <x:v>다세대</x:v>
      </x:c>
      <x:c r="I20" s="59" t="n">
        <x:v>36.35</x:v>
      </x:c>
      <x:c r="J20" s="59" t="n">
        <x:f>IFERROR(I20/3.3058,"")</x:f>
        <x:v>10.995825518785166</x:v>
      </x:c>
      <x:c r="K20" s="57" t="n">
        <x:f>IFERROR(F20/J20,"")</x:f>
        <x:v>9048.888583218706</x:v>
      </x:c>
      <x:c r="L20" s="59" t="n">
        <x:v>68.85</x:v>
      </x:c>
      <x:c r="M20" s="57" t="n">
        <x:f>IFERROR(F20/(L20/3.3),"")</x:f>
        <x:v>4769.063180827887</x:v>
      </x:c>
      <x:c r="N20" s="55" t="str">
        <x:v>4</x:v>
      </x:c>
      <x:c r="O20" s="57" t="n">
        <x:v>60300</x:v>
      </x:c>
      <x:c r="P20" s="60" t="n">
        <x:f>IFERROR(F20/O20-1,"")</x:f>
        <x:v>0.6500829187396351</x:v>
      </x:c>
      <x:c r="Q20" s="55" t="n">
        <x:v>2009</x:v>
      </x:c>
      <x:c r="R20" s="55" t="str">
        <x:v>비지하</x:v>
      </x:c>
      <x:c r="S20" s="55" t="str">
        <x:v>중개거래</x:v>
      </x:c>
      <x:c r="T20" s="55" t="str">
        <x:v>서울 용산구</x:v>
      </x:c>
      <x:c r="U20" s="55" t="n">
        <x:v>24959328</x:v>
      </x:c>
      <x:c r="V20" s="55" t="str">
        <x:v>활성</x:v>
      </x:c>
    </x:row>
    <x:row r="21">
      <x:c r="A21" s="55" t="n">
        <x:v>17</x:v>
      </x:c>
      <x:c r="B21" s="56" t="n">
        <x:v>46127</x:v>
      </x:c>
      <x:c r="C21" s="61" t="str">
        <x:v>청파동1가 1-46</x:v>
      </x:c>
      <x:c r="D21" s="61" t="str">
        <x:v>에버그린</x:v>
      </x:c>
      <x:c r="E21" s="55" t="str">
        <x:v>다세대주택</x:v>
      </x:c>
      <x:c r="F21" s="57" t="n">
        <x:v>91000</x:v>
      </x:c>
      <x:c r="G21" s="58" t="n">
        <x:f>IFERROR(F21/10000,"")</x:f>
        <x:v>9.1</x:v>
      </x:c>
      <x:c r="H21" s="55" t="str">
        <x:v>다세대</x:v>
      </x:c>
      <x:c r="I21" s="59" t="n">
        <x:v>29.8</x:v>
      </x:c>
      <x:c r="J21" s="59" t="n">
        <x:f>IFERROR(I21/3.3058,"")</x:f>
        <x:v>9.014459434932542</x:v>
      </x:c>
      <x:c r="K21" s="57" t="n">
        <x:f>IFERROR(F21/J21,"")</x:f>
        <x:v>10094.892617449665</x:v>
      </x:c>
      <x:c r="L21" s="59" t="n">
        <x:v>61.73</x:v>
      </x:c>
      <x:c r="M21" s="57" t="n">
        <x:f>IFERROR(F21/(L21/3.3),"")</x:f>
        <x:v>4864.73351692856</x:v>
      </x:c>
      <x:c r="N21" s="55" t="str">
        <x:v>1</x:v>
      </x:c>
      <x:c r="O21" s="57" t="n">
        <x:v>44300</x:v>
      </x:c>
      <x:c r="P21" s="60" t="n">
        <x:f>IFERROR(F21/O21-1,"")</x:f>
        <x:v>1.054176072234763</x:v>
      </x:c>
      <x:c r="Q21" s="55" t="n">
        <x:v>2008</x:v>
      </x:c>
      <x:c r="R21" s="55" t="str">
        <x:v>비지하</x:v>
      </x:c>
      <x:c r="S21" s="55" t="str">
        <x:v>중개거래</x:v>
      </x:c>
      <x:c r="T21" s="55" t="str">
        <x:v>서울 서대문구, 서울 용산구</x:v>
      </x:c>
      <x:c r="U21" s="55" t="n">
        <x:v>24959362</x:v>
      </x:c>
      <x:c r="V21" s="55" t="str">
        <x:v>활성</x:v>
      </x:c>
    </x:row>
    <x:row r="22">
      <x:c r="A22" s="55" t="n">
        <x:v>18</x:v>
      </x:c>
      <x:c r="B22" s="56" t="n">
        <x:v>46125</x:v>
      </x:c>
      <x:c r="C22" s="61" t="str">
        <x:v>청파동1가 3-39</x:v>
      </x:c>
      <x:c r="D22" s="61" t="str">
        <x:v>(3-39)</x:v>
      </x:c>
      <x:c r="E22" s="55" t="str">
        <x:v>다세대주택</x:v>
      </x:c>
      <x:c r="F22" s="57" t="n">
        <x:v>97000</x:v>
      </x:c>
      <x:c r="G22" s="58" t="n">
        <x:f>IFERROR(F22/10000,"")</x:f>
        <x:v>9.7</x:v>
      </x:c>
      <x:c r="H22" s="55" t="str">
        <x:v>다세대</x:v>
      </x:c>
      <x:c r="I22" s="59" t="n">
        <x:v>49.5</x:v>
      </x:c>
      <x:c r="J22" s="59" t="n">
        <x:f>IFERROR(I22/3.3058,"")</x:f>
        <x:v>14.973682618428217</x:v>
      </x:c>
      <x:c r="K22" s="57" t="n">
        <x:f>IFERROR(F22/J22,"")</x:f>
        <x:v>6478.0323232323235</x:v>
      </x:c>
      <x:c r="L22" s="59" t="n">
        <x:v>50.04</x:v>
      </x:c>
      <x:c r="M22" s="57" t="n">
        <x:f>IFERROR(F22/(L22/3.3),"")</x:f>
        <x:v>6396.882494004796</x:v>
      </x:c>
      <x:c r="N22" s="55" t="str">
        <x:v>2</x:v>
      </x:c>
      <x:c r="O22" s="57" t="n">
        <x:v>49000</x:v>
      </x:c>
      <x:c r="P22" s="60" t="n">
        <x:f>IFERROR(F22/O22-1,"")</x:f>
        <x:v>0.9795918367346939</x:v>
      </x:c>
      <x:c r="Q22" s="55" t="n">
        <x:v>2008</x:v>
      </x:c>
      <x:c r="R22" s="55" t="str">
        <x:v>비지하</x:v>
      </x:c>
      <x:c r="S22" s="55" t="str">
        <x:v>중개거래</x:v>
      </x:c>
      <x:c r="T22" s="55" t="str">
        <x:v>서울 용산구</x:v>
      </x:c>
      <x:c r="U22" s="55" t="n">
        <x:v>24959311</x:v>
      </x:c>
      <x:c r="V22" s="55" t="str">
        <x:v>활성</x:v>
      </x:c>
    </x:row>
    <x:row r="23">
      <x:c r="A23" s="55" t="n">
        <x:v>19</x:v>
      </x:c>
      <x:c r="B23" s="56" t="n">
        <x:v>46115</x:v>
      </x:c>
      <x:c r="C23" s="61" t="str">
        <x:v>청파동1가 89-14</x:v>
      </x:c>
      <x:c r="D23" s="61" t="str">
        <x:v>(89-14)</x:v>
      </x:c>
      <x:c r="E23" s="55" t="str">
        <x:v>다세대주택</x:v>
      </x:c>
      <x:c r="F23" s="57" t="n">
        <x:v>50000</x:v>
      </x:c>
      <x:c r="G23" s="58" t="n">
        <x:f>IFERROR(F23/10000,"")</x:f>
        <x:v>5</x:v>
      </x:c>
      <x:c r="H23" s="55" t="str">
        <x:v>다세대</x:v>
      </x:c>
      <x:c r="I23" s="59" t="n">
        <x:v>31.6</x:v>
      </x:c>
      <x:c r="J23" s="59" t="n">
        <x:f>IFERROR(I23/3.3058,"")</x:f>
        <x:v>9.55895698469357</x:v>
      </x:c>
      <x:c r="K23" s="57" t="n">
        <x:f>IFERROR(F23/J23,"")</x:f>
        <x:v>5230.696202531645</x:v>
      </x:c>
      <x:c r="L23" s="59" t="n">
        <x:v>62.19</x:v>
      </x:c>
      <x:c r="M23" s="57" t="n">
        <x:f>IFERROR(F23/(L23/3.3),"")</x:f>
        <x:v>2653.1596719729855</x:v>
      </x:c>
      <x:c r="N23" s="55" t="str">
        <x:v>3</x:v>
      </x:c>
      <x:c r="O23" s="57" t="n">
        <x:v>35700</x:v>
      </x:c>
      <x:c r="P23" s="60" t="n">
        <x:f>IFERROR(F23/O23-1,"")</x:f>
        <x:v>0.40056022408963576</x:v>
      </x:c>
      <x:c r="Q23" s="55" t="n">
        <x:v>2004</x:v>
      </x:c>
      <x:c r="R23" s="55" t="str">
        <x:v>비지하</x:v>
      </x:c>
      <x:c r="S23" s="55" t="str">
        <x:v>직거래</x:v>
      </x:c>
      <x:c r="T23" s="55" t="str"/>
      <x:c r="U23" s="55" t="n">
        <x:v>24959365</x:v>
      </x:c>
      <x:c r="V23" s="55" t="str">
        <x:v>활성</x:v>
      </x:c>
    </x:row>
    <x:row r="24">
      <x:c r="A24" s="55" t="n">
        <x:v>20</x:v>
      </x:c>
      <x:c r="B24" s="56" t="n">
        <x:v>46099</x:v>
      </x:c>
      <x:c r="C24" s="61" t="str">
        <x:v>청파동1가 1-65</x:v>
      </x:c>
      <x:c r="D24" s="61" t="str">
        <x:v>(1-65)</x:v>
      </x:c>
      <x:c r="E24" s="55" t="str">
        <x:v>다세대주택</x:v>
      </x:c>
      <x:c r="F24" s="57" t="n">
        <x:v>86000</x:v>
      </x:c>
      <x:c r="G24" s="58" t="n">
        <x:f>IFERROR(F24/10000,"")</x:f>
        <x:v>8.6</x:v>
      </x:c>
      <x:c r="H24" s="55" t="str">
        <x:v>다세대</x:v>
      </x:c>
      <x:c r="I24" s="59" t="n">
        <x:v>28.1</x:v>
      </x:c>
      <x:c r="J24" s="59" t="n">
        <x:f>IFERROR(I24/3.3058,"")</x:f>
        <x:v>8.50021174904713</x:v>
      </x:c>
      <x:c r="K24" s="57" t="n">
        <x:f>IFERROR(F24/J24,"")</x:f>
        <x:v>10117.395017793593</x:v>
      </x:c>
      <x:c r="L24" s="59" t="n">
        <x:v>50.86</x:v>
      </x:c>
      <x:c r="M24" s="57" t="n">
        <x:f>IFERROR(F24/(L24/3.3),"")</x:f>
        <x:v>5580.023594180102</x:v>
      </x:c>
      <x:c r="N24" s="55" t="str">
        <x:v>2</x:v>
      </x:c>
      <x:c r="O24" s="57" t="n">
        <x:v>50500</x:v>
      </x:c>
      <x:c r="P24" s="60" t="n">
        <x:f>IFERROR(F24/O24-1,"")</x:f>
        <x:v>0.7029702970297029</x:v>
      </x:c>
      <x:c r="Q24" s="55" t="n">
        <x:v>2009</x:v>
      </x:c>
      <x:c r="R24" s="55" t="str">
        <x:v>비지하</x:v>
      </x:c>
      <x:c r="S24" s="55" t="str">
        <x:v>중개거래</x:v>
      </x:c>
      <x:c r="T24" s="55" t="str"/>
      <x:c r="U24" s="55" t="n">
        <x:v>25444617</x:v>
      </x:c>
      <x:c r="V24" s="55" t="str">
        <x:v>활성</x:v>
      </x:c>
    </x:row>
    <x:row r="25">
      <x:c r="A25" s="55" t="n">
        <x:v>21</x:v>
      </x:c>
      <x:c r="B25" s="56" t="n">
        <x:v>46098</x:v>
      </x:c>
      <x:c r="C25" s="61" t="str">
        <x:v>청파동1가 89-4</x:v>
      </x:c>
      <x:c r="D25" s="61" t="str">
        <x:v>다인아트빌(89-4)</x:v>
      </x:c>
      <x:c r="E25" s="55" t="str">
        <x:v>다세대주택</x:v>
      </x:c>
      <x:c r="F25" s="57" t="n">
        <x:v>44500</x:v>
      </x:c>
      <x:c r="G25" s="58" t="n">
        <x:f>IFERROR(F25/10000,"")</x:f>
        <x:v>4.45</x:v>
      </x:c>
      <x:c r="H25" s="55" t="str">
        <x:v>다세대</x:v>
      </x:c>
      <x:c r="I25" s="59" t="n">
        <x:v>36.08</x:v>
      </x:c>
      <x:c r="J25" s="59" t="n">
        <x:f>IFERROR(I25/3.3058,"")</x:f>
        <x:v>10.91415088632101</x:v>
      </x:c>
      <x:c r="K25" s="57" t="n">
        <x:f>IFERROR(F25/J25,"")</x:f>
        <x:v>4077.275498891353</x:v>
      </x:c>
      <x:c r="L25" s="59" t="n">
        <x:v>43.23</x:v>
      </x:c>
      <x:c r="M25" s="57" t="n">
        <x:f>IFERROR(F25/(L25/3.3),"")</x:f>
        <x:v>3396.946564885496</x:v>
      </x:c>
      <x:c r="N25" s="55" t="str">
        <x:v>3</x:v>
      </x:c>
      <x:c r="O25" s="57" t="n">
        <x:v>57700</x:v>
      </x:c>
      <x:c r="P25" s="60" t="n">
        <x:f>IFERROR(F25/O25-1,"")</x:f>
        <x:v>-0.22876949740034658</x:v>
      </x:c>
      <x:c r="Q25" s="55" t="n">
        <x:v>2007</x:v>
      </x:c>
      <x:c r="R25" s="55" t="str">
        <x:v>비지하</x:v>
      </x:c>
      <x:c r="S25" s="55" t="str">
        <x:v>중개거래</x:v>
      </x:c>
      <x:c r="T25" s="55" t="str">
        <x:v>서울 용산구</x:v>
      </x:c>
      <x:c r="U25" s="55" t="n">
        <x:v>25444605</x:v>
      </x:c>
      <x:c r="V25" s="55" t="str">
        <x:v>활성</x:v>
      </x:c>
    </x:row>
    <x:row r="26">
      <x:c r="A26" s="55" t="n">
        <x:v>22</x:v>
      </x:c>
      <x:c r="B26" s="56" t="n">
        <x:v>46093</x:v>
      </x:c>
      <x:c r="C26" s="61" t="str">
        <x:v>청파동1가 58-18</x:v>
      </x:c>
      <x:c r="D26" s="61" t="str">
        <x:v>명신빌라(58-18)</x:v>
      </x:c>
      <x:c r="E26" s="55" t="str">
        <x:v>다세대주택</x:v>
      </x:c>
      <x:c r="F26" s="57" t="n">
        <x:v>110000</x:v>
      </x:c>
      <x:c r="G26" s="58" t="n">
        <x:f>IFERROR(F26/10000,"")</x:f>
        <x:v>11</x:v>
      </x:c>
      <x:c r="H26" s="55" t="str">
        <x:v>다세대</x:v>
      </x:c>
      <x:c r="I26" s="59" t="n">
        <x:v>43.69</x:v>
      </x:c>
      <x:c r="J26" s="59" t="n">
        <x:f>IFERROR(I26/3.3058,"")</x:f>
        <x:v>13.216165527255127</x:v>
      </x:c>
      <x:c r="K26" s="57" t="n">
        <x:f>IFERROR(F26/J26,"")</x:f>
        <x:v>8323.14030670634</x:v>
      </x:c>
      <x:c r="L26" s="59" t="n">
        <x:v>70.95</x:v>
      </x:c>
      <x:c r="M26" s="57" t="n">
        <x:f>IFERROR(F26/(L26/3.3),"")</x:f>
        <x:v>5116.279069767441</x:v>
      </x:c>
      <x:c r="N26" s="55" t="str">
        <x:v>2</x:v>
      </x:c>
      <x:c r="O26" s="57" t="n">
        <x:v>50800</x:v>
      </x:c>
      <x:c r="P26" s="60" t="n">
        <x:f>IFERROR(F26/O26-1,"")</x:f>
        <x:v>1.1653543307086616</x:v>
      </x:c>
      <x:c r="Q26" s="55" t="n">
        <x:v>1990</x:v>
      </x:c>
      <x:c r="R26" s="55" t="str">
        <x:v>비지하</x:v>
      </x:c>
      <x:c r="S26" s="55" t="str">
        <x:v>중개거래</x:v>
      </x:c>
      <x:c r="T26" s="55" t="str">
        <x:v>서울 마포구, 서울 용산구</x:v>
      </x:c>
      <x:c r="U26" s="55" t="n">
        <x:v>25444635</x:v>
      </x:c>
      <x:c r="V26" s="55" t="str">
        <x:v>활성</x:v>
      </x:c>
    </x:row>
    <x:row r="27">
      <x:c r="A27" s="55" t="n">
        <x:v>23</x:v>
      </x:c>
      <x:c r="B27" s="56" t="n">
        <x:v>46079</x:v>
      </x:c>
      <x:c r="C27" s="61" t="str">
        <x:v>청파동1가 1-65</x:v>
      </x:c>
      <x:c r="D27" s="61" t="str">
        <x:v>(1-65)</x:v>
      </x:c>
      <x:c r="E27" s="55" t="str">
        <x:v>다세대주택</x:v>
      </x:c>
      <x:c r="F27" s="57" t="n">
        <x:v>87000</x:v>
      </x:c>
      <x:c r="G27" s="58" t="n">
        <x:f>IFERROR(F27/10000,"")</x:f>
        <x:v>8.7</x:v>
      </x:c>
      <x:c r="H27" s="55" t="str">
        <x:v>다세대</x:v>
      </x:c>
      <x:c r="I27" s="59" t="n">
        <x:v>28.1</x:v>
      </x:c>
      <x:c r="J27" s="59" t="n">
        <x:f>IFERROR(I27/3.3058,"")</x:f>
        <x:v>8.50021174904713</x:v>
      </x:c>
      <x:c r="K27" s="57" t="n">
        <x:f>IFERROR(F27/J27,"")</x:f>
        <x:v>10235.039145907473</x:v>
      </x:c>
      <x:c r="L27" s="59" t="n">
        <x:v>50.86</x:v>
      </x:c>
      <x:c r="M27" s="57" t="n">
        <x:f>IFERROR(F27/(L27/3.3),"")</x:f>
        <x:v>5644.907589461266</x:v>
      </x:c>
      <x:c r="N27" s="55" t="str">
        <x:v>3</x:v>
      </x:c>
      <x:c r="O27" s="57" t="n">
        <x:v>50500</x:v>
      </x:c>
      <x:c r="P27" s="60" t="n">
        <x:f>IFERROR(F27/O27-1,"")</x:f>
        <x:v>0.7227722772277227</x:v>
      </x:c>
      <x:c r="Q27" s="55" t="n">
        <x:v>2009</x:v>
      </x:c>
      <x:c r="R27" s="55" t="str">
        <x:v>비지하</x:v>
      </x:c>
      <x:c r="S27" s="55" t="str">
        <x:v>중개거래</x:v>
      </x:c>
      <x:c r="T27" s="55" t="str">
        <x:v>서울 용산구</x:v>
      </x:c>
      <x:c r="U27" s="55" t="n">
        <x:v>25527679</x:v>
      </x:c>
      <x:c r="V27" s="55" t="str">
        <x:v>활성</x:v>
      </x:c>
    </x:row>
    <x:row r="28">
      <x:c r="A28" s="55" t="n">
        <x:v>24</x:v>
      </x:c>
      <x:c r="B28" s="56" t="n">
        <x:v>46065</x:v>
      </x:c>
      <x:c r="C28" s="61" t="str">
        <x:v>청파동1가 4-2</x:v>
      </x:c>
      <x:c r="D28" s="61" t="str">
        <x:v>안드레아빌라</x:v>
      </x:c>
      <x:c r="E28" s="55" t="str">
        <x:v>다세대주택</x:v>
      </x:c>
      <x:c r="F28" s="57" t="n">
        <x:v>80000</x:v>
      </x:c>
      <x:c r="G28" s="58" t="n">
        <x:f>IFERROR(F28/10000,"")</x:f>
        <x:v>8</x:v>
      </x:c>
      <x:c r="H28" s="55" t="str">
        <x:v>다세대</x:v>
      </x:c>
      <x:c r="I28" s="59" t="n">
        <x:v>24.31</x:v>
      </x:c>
      <x:c r="J28" s="59" t="n">
        <x:f>IFERROR(I28/3.3058,"")</x:f>
        <x:v>7.353741908161413</x:v>
      </x:c>
      <x:c r="K28" s="57" t="n">
        <x:f>IFERROR(F28/J28,"")</x:f>
        <x:v>10878.815302344714</x:v>
      </x:c>
      <x:c r="L28" s="59" t="n">
        <x:v>47.91</x:v>
      </x:c>
      <x:c r="M28" s="57" t="n">
        <x:f>IFERROR(F28/(L28/3.3),"")</x:f>
        <x:v>5510.331872260489</x:v>
      </x:c>
      <x:c r="N28" s="55" t="str">
        <x:v>4</x:v>
      </x:c>
      <x:c r="O28" s="57" t="n">
        <x:v>34900</x:v>
      </x:c>
      <x:c r="P28" s="60" t="n">
        <x:f>IFERROR(F28/O28-1,"")</x:f>
        <x:v>1.292263610315186</x:v>
      </x:c>
      <x:c r="Q28" s="55" t="n">
        <x:v>2001</x:v>
      </x:c>
      <x:c r="R28" s="55" t="str">
        <x:v>비지하</x:v>
      </x:c>
      <x:c r="S28" s="55" t="str">
        <x:v>중개거래</x:v>
      </x:c>
      <x:c r="T28" s="55" t="str">
        <x:v>서울 용산구</x:v>
      </x:c>
      <x:c r="U28" s="55" t="n">
        <x:v>25527704</x:v>
      </x:c>
      <x:c r="V28" s="55" t="str">
        <x:v>활성</x:v>
      </x:c>
    </x:row>
    <x:row r="29">
      <x:c r="A29" s="55" t="n">
        <x:v>25</x:v>
      </x:c>
      <x:c r="B29" s="56" t="n">
        <x:v>46060</x:v>
      </x:c>
      <x:c r="C29" s="61" t="str">
        <x:v>청파동1가 7-17</x:v>
      </x:c>
      <x:c r="D29" s="61" t="str">
        <x:v>노블하우스</x:v>
      </x:c>
      <x:c r="E29" s="55" t="str">
        <x:v>다세대주택</x:v>
      </x:c>
      <x:c r="F29" s="57" t="n">
        <x:v>88000</x:v>
      </x:c>
      <x:c r="G29" s="58" t="n">
        <x:f>IFERROR(F29/10000,"")</x:f>
        <x:v>8.8</x:v>
      </x:c>
      <x:c r="H29" s="55" t="str">
        <x:v>다세대</x:v>
      </x:c>
      <x:c r="I29" s="59" t="n">
        <x:v>34.71</x:v>
      </x:c>
      <x:c r="J29" s="59" t="n">
        <x:f>IFERROR(I29/3.3058,"")</x:f>
        <x:v>10.49972775122512</x:v>
      </x:c>
      <x:c r="K29" s="57" t="n">
        <x:f>IFERROR(F29/J29,"")</x:f>
        <x:v>8381.16969173149</x:v>
      </x:c>
      <x:c r="L29" s="59" t="n">
        <x:v>36.94</x:v>
      </x:c>
      <x:c r="M29" s="57" t="n">
        <x:f>IFERROR(F29/(L29/3.3),"")</x:f>
        <x:v>7861.396859772604</x:v>
      </x:c>
      <x:c r="N29" s="55" t="str">
        <x:v>1</x:v>
      </x:c>
      <x:c r="O29" s="57" t="n">
        <x:v>45400</x:v>
      </x:c>
      <x:c r="P29" s="60" t="n">
        <x:f>IFERROR(F29/O29-1,"")</x:f>
        <x:v>0.9383259911894273</x:v>
      </x:c>
      <x:c r="Q29" s="55" t="n">
        <x:v>2007</x:v>
      </x:c>
      <x:c r="R29" s="55" t="str">
        <x:v>비지하</x:v>
      </x:c>
      <x:c r="S29" s="55" t="str">
        <x:v>중개거래</x:v>
      </x:c>
      <x:c r="T29" s="55" t="str">
        <x:v>서울 마포구, 서울 서대문구</x:v>
      </x:c>
      <x:c r="U29" s="55" t="n">
        <x:v>25527727</x:v>
      </x:c>
      <x:c r="V29" s="55" t="str">
        <x:v>활성</x:v>
      </x:c>
    </x:row>
    <x:row r="30">
      <x:c r="A30" s="55" t="n">
        <x:v>26</x:v>
      </x:c>
      <x:c r="B30" s="56" t="n">
        <x:v>46060</x:v>
      </x:c>
      <x:c r="C30" s="61" t="str">
        <x:v>청파동1가 89-21</x:v>
      </x:c>
      <x:c r="D30" s="61" t="str">
        <x:v>윤호빌</x:v>
      </x:c>
      <x:c r="E30" s="55" t="str">
        <x:v>다세대주택</x:v>
      </x:c>
      <x:c r="F30" s="57" t="n">
        <x:v>84700</x:v>
      </x:c>
      <x:c r="G30" s="58" t="n">
        <x:f>IFERROR(F30/10000,"")</x:f>
        <x:v>8.47</x:v>
      </x:c>
      <x:c r="H30" s="55" t="str">
        <x:v>다세대</x:v>
      </x:c>
      <x:c r="I30" s="59" t="n">
        <x:v>26.4</x:v>
      </x:c>
      <x:c r="J30" s="59" t="n">
        <x:f>IFERROR(I30/3.3058,"")</x:f>
        <x:v>7.985964063161715</x:v>
      </x:c>
      <x:c r="K30" s="57" t="n">
        <x:f>IFERROR(F30/J30,"")</x:f>
        <x:v>10606.108333333334</x:v>
      </x:c>
      <x:c r="L30" s="59" t="n">
        <x:v>50.04</x:v>
      </x:c>
      <x:c r="M30" s="57" t="n">
        <x:f>IFERROR(F30/(L30/3.3),"")</x:f>
        <x:v>5585.731414868105</x:v>
      </x:c>
      <x:c r="N30" s="55" t="str">
        <x:v>3</x:v>
      </x:c>
      <x:c r="O30" s="57" t="n">
        <x:v>42600</x:v>
      </x:c>
      <x:c r="P30" s="60" t="n">
        <x:f>IFERROR(F30/O30-1,"")</x:f>
        <x:v>0.988262910798122</x:v>
      </x:c>
      <x:c r="Q30" s="55" t="n">
        <x:v>2011</x:v>
      </x:c>
      <x:c r="R30" s="55" t="str">
        <x:v>비지하</x:v>
      </x:c>
      <x:c r="S30" s="55" t="str">
        <x:v>중개거래</x:v>
      </x:c>
      <x:c r="T30" s="55" t="str">
        <x:v>서울 용산구</x:v>
      </x:c>
      <x:c r="U30" s="55" t="n">
        <x:v>25527702</x:v>
      </x:c>
      <x:c r="V30" s="55" t="str">
        <x:v>활성</x:v>
      </x:c>
    </x:row>
    <x:row r="31">
      <x:c r="A31" s="55" t="n">
        <x:v>27</x:v>
      </x:c>
      <x:c r="B31" s="56" t="n">
        <x:v>46039</x:v>
      </x:c>
      <x:c r="C31" s="61" t="str">
        <x:v>청파동1가 89-31</x:v>
      </x:c>
      <x:c r="D31" s="61" t="str">
        <x:v>프라임빌(89-31)</x:v>
      </x:c>
      <x:c r="E31" s="55" t="str">
        <x:v>다세대주택</x:v>
      </x:c>
      <x:c r="F31" s="57" t="n">
        <x:v>87000</x:v>
      </x:c>
      <x:c r="G31" s="58" t="n">
        <x:f>IFERROR(F31/10000,"")</x:f>
        <x:v>8.7</x:v>
      </x:c>
      <x:c r="H31" s="55" t="str">
        <x:v>다세대</x:v>
      </x:c>
      <x:c r="I31" s="59" t="n">
        <x:v>33.06</x:v>
      </x:c>
      <x:c r="J31" s="59" t="n">
        <x:f>IFERROR(I31/3.3058,"")</x:f>
        <x:v>10.000604997277513</x:v>
      </x:c>
      <x:c r="K31" s="57" t="n">
        <x:f>IFERROR(F31/J31,"")</x:f>
        <x:v>8699.473684210525</x:v>
      </x:c>
      <x:c r="L31" s="59" t="n">
        <x:v>50.67</x:v>
      </x:c>
      <x:c r="M31" s="57" t="n">
        <x:f>IFERROR(F31/(L31/3.3),"")</x:f>
        <x:v>5666.074600355239</x:v>
      </x:c>
      <x:c r="N31" s="55" t="str">
        <x:v>1</x:v>
      </x:c>
      <x:c r="O31" s="57" t="n">
        <x:v>46100</x:v>
      </x:c>
      <x:c r="P31" s="60" t="n">
        <x:f>IFERROR(F31/O31-1,"")</x:f>
        <x:v>0.8872017353579176</x:v>
      </x:c>
      <x:c r="Q31" s="55" t="n">
        <x:v>2008</x:v>
      </x:c>
      <x:c r="R31" s="55" t="str">
        <x:v>비지하</x:v>
      </x:c>
      <x:c r="S31" s="55" t="str">
        <x:v>중개거래</x:v>
      </x:c>
      <x:c r="T31" s="55" t="str">
        <x:v>서울 용산구</x:v>
      </x:c>
      <x:c r="U31" s="55" t="n">
        <x:v>25523907</x:v>
      </x:c>
      <x:c r="V31" s="55" t="str">
        <x:v>활성</x:v>
      </x:c>
    </x:row>
    <x:row r="32">
      <x:c r="A32" s="55" t="n">
        <x:v>28</x:v>
      </x:c>
      <x:c r="B32" s="56" t="n">
        <x:v>46022</x:v>
      </x:c>
      <x:c r="C32" s="61" t="str">
        <x:v>청파동1가 148-2</x:v>
      </x:c>
      <x:c r="D32" s="61" t="str">
        <x:v>(148-2)</x:v>
      </x:c>
      <x:c r="E32" s="55" t="str">
        <x:v>다세대주택</x:v>
      </x:c>
      <x:c r="F32" s="57" t="n">
        <x:v>69640</x:v>
      </x:c>
      <x:c r="G32" s="58" t="n">
        <x:f>IFERROR(F32/10000,"")</x:f>
        <x:v>6.964</x:v>
      </x:c>
      <x:c r="H32" s="55" t="str">
        <x:v>다세대</x:v>
      </x:c>
      <x:c r="I32" s="59" t="n">
        <x:v>17.9208</x:v>
      </x:c>
      <x:c r="J32" s="59" t="n">
        <x:f>IFERROR(I32/3.3058,"")</x:f>
        <x:v>5.421017605420776</x:v>
      </x:c>
      <x:c r="K32" s="57" t="n">
        <x:f>IFERROR(F32/J32,"")</x:f>
        <x:v>12846.296593902058</x:v>
      </x:c>
      <x:c r="L32" s="59" t="n">
        <x:v>29.94</x:v>
      </x:c>
      <x:c r="M32" s="57" t="n">
        <x:f>IFERROR(F32/(L32/3.3),"")</x:f>
        <x:v>7675.751503006011</x:v>
      </x:c>
      <x:c r="N32" s="55" t="str">
        <x:v>4</x:v>
      </x:c>
      <x:c r="O32" s="57" t="n">
        <x:v>45100</x:v>
      </x:c>
      <x:c r="P32" s="60" t="n">
        <x:f>IFERROR(F32/O32-1,"")</x:f>
        <x:v>0.5441241685144125</x:v>
      </x:c>
      <x:c r="Q32" s="55" t="n">
        <x:v>2021</x:v>
      </x:c>
      <x:c r="R32" s="55" t="str">
        <x:v>비지하</x:v>
      </x:c>
      <x:c r="S32" s="55" t="str">
        <x:v>중개거래</x:v>
      </x:c>
      <x:c r="T32" s="55" t="str">
        <x:v>서울 용산구</x:v>
      </x:c>
      <x:c r="U32" s="55" t="n">
        <x:v>25530768</x:v>
      </x:c>
      <x:c r="V32" s="55" t="str">
        <x:v>활성</x:v>
      </x:c>
    </x:row>
    <x:row r="33">
      <x:c r="A33" s="55" t="n">
        <x:v>29</x:v>
      </x:c>
      <x:c r="B33" s="56" t="n">
        <x:v>45990</x:v>
      </x:c>
      <x:c r="C33" s="61" t="str">
        <x:v>청파동1가 89-27</x:v>
      </x:c>
      <x:c r="D33" s="61" t="str">
        <x:v>다인빌라(89-27)</x:v>
      </x:c>
      <x:c r="E33" s="55" t="str">
        <x:v>다세대주택</x:v>
      </x:c>
      <x:c r="F33" s="57" t="n">
        <x:v>58000</x:v>
      </x:c>
      <x:c r="G33" s="58" t="n">
        <x:f>IFERROR(F33/10000,"")</x:f>
        <x:v>5.8</x:v>
      </x:c>
      <x:c r="H33" s="55" t="str">
        <x:v>다세대</x:v>
      </x:c>
      <x:c r="I33" s="59" t="n">
        <x:v>23.14</x:v>
      </x:c>
      <x:c r="J33" s="59" t="n">
        <x:f>IFERROR(I33/3.3058,"")</x:f>
        <x:v>6.999818500816747</x:v>
      </x:c>
      <x:c r="K33" s="57" t="n">
        <x:f>IFERROR(F33/J33,"")</x:f>
        <x:v>8285.929127052723</x:v>
      </x:c>
      <x:c r="L33" s="59" t="n">
        <x:v>21.72</x:v>
      </x:c>
      <x:c r="M33" s="57" t="n">
        <x:f>IFERROR(F33/(L33/3.3),"")</x:f>
        <x:v>8812.154696132597</x:v>
      </x:c>
      <x:c r="N33" s="55" t="str">
        <x:v>1</x:v>
      </x:c>
      <x:c r="O33" s="57" t="n">
        <x:v>32100</x:v>
      </x:c>
      <x:c r="P33" s="60" t="n">
        <x:f>IFERROR(F33/O33-1,"")</x:f>
        <x:v>0.8068535825545171</x:v>
      </x:c>
      <x:c r="Q33" s="55" t="n">
        <x:v>2007</x:v>
      </x:c>
      <x:c r="R33" s="55" t="str">
        <x:v>비지하</x:v>
      </x:c>
      <x:c r="S33" s="55" t="str">
        <x:v>중개거래</x:v>
      </x:c>
      <x:c r="T33" s="55" t="str">
        <x:v>서울 용산구</x:v>
      </x:c>
      <x:c r="U33" s="55" t="n">
        <x:v>25533736</x:v>
      </x:c>
      <x:c r="V33" s="55" t="str">
        <x:v>활성</x:v>
      </x:c>
    </x:row>
    <x:row r="34">
      <x:c r="A34" s="55" t="n">
        <x:v>30</x:v>
      </x:c>
      <x:c r="B34" s="56" t="n">
        <x:v>45988</x:v>
      </x:c>
      <x:c r="C34" s="61" t="str">
        <x:v>청파동1가 89-32</x:v>
      </x:c>
      <x:c r="D34" s="61" t="str">
        <x:v>다흥</x:v>
      </x:c>
      <x:c r="E34" s="55" t="str">
        <x:v>다세대주택</x:v>
      </x:c>
      <x:c r="F34" s="57" t="n">
        <x:v>86000</x:v>
      </x:c>
      <x:c r="G34" s="58" t="n">
        <x:f>IFERROR(F34/10000,"")</x:f>
        <x:v>8.6</x:v>
      </x:c>
      <x:c r="H34" s="55" t="str">
        <x:v>다세대</x:v>
      </x:c>
      <x:c r="I34" s="59" t="n">
        <x:v>33.058</x:v>
      </x:c>
      <x:c r="J34" s="59" t="n">
        <x:f>IFERROR(I34/3.3058,"")</x:f>
        <x:v>10</x:v>
      </x:c>
      <x:c r="K34" s="57" t="n">
        <x:f>IFERROR(F34/J34,"")</x:f>
        <x:v>8600</x:v>
      </x:c>
      <x:c r="L34" s="59" t="n">
        <x:v>50.04</x:v>
      </x:c>
      <x:c r="M34" s="57" t="n">
        <x:f>IFERROR(F34/(L34/3.3),"")</x:f>
        <x:v>5671.462829736211</x:v>
      </x:c>
      <x:c r="N34" s="55" t="str">
        <x:v>2</x:v>
      </x:c>
      <x:c r="O34" s="57" t="n">
        <x:v>49300</x:v>
      </x:c>
      <x:c r="P34" s="60" t="n">
        <x:f>IFERROR(F34/O34-1,"")</x:f>
        <x:v>0.7444219066937119</x:v>
      </x:c>
      <x:c r="Q34" s="55" t="n">
        <x:v>2008</x:v>
      </x:c>
      <x:c r="R34" s="55" t="str">
        <x:v>비지하</x:v>
      </x:c>
      <x:c r="S34" s="55" t="str">
        <x:v>중개거래</x:v>
      </x:c>
      <x:c r="T34" s="55" t="str">
        <x:v>서울 용산구</x:v>
      </x:c>
      <x:c r="U34" s="55" t="n">
        <x:v>25533752</x:v>
      </x:c>
      <x:c r="V34" s="55" t="str">
        <x:v>활성</x:v>
      </x:c>
    </x:row>
    <x:row r="35">
      <x:c r="A35" s="55" t="n">
        <x:v>31</x:v>
      </x:c>
      <x:c r="B35" s="56" t="n">
        <x:v>45987</x:v>
      </x:c>
      <x:c r="C35" s="61" t="str">
        <x:v>청파동1가 58-19</x:v>
      </x:c>
      <x:c r="D35" s="61" t="str">
        <x:v>(58-19)</x:v>
      </x:c>
      <x:c r="E35" s="55" t="str">
        <x:v>다세대주택</x:v>
      </x:c>
      <x:c r="F35" s="57" t="n">
        <x:v>96000</x:v>
      </x:c>
      <x:c r="G35" s="58" t="n">
        <x:f>IFERROR(F35/10000,"")</x:f>
        <x:v>9.6</x:v>
      </x:c>
      <x:c r="H35" s="55" t="str">
        <x:v>다세대</x:v>
      </x:c>
      <x:c r="I35" s="59" t="n">
        <x:v>46.28</x:v>
      </x:c>
      <x:c r="J35" s="59" t="n">
        <x:f>IFERROR(I35/3.3058,"")</x:f>
        <x:v>13.999637001633493</x:v>
      </x:c>
      <x:c r="K35" s="57" t="n">
        <x:f>IFERROR(F35/J35,"")</x:f>
        <x:v>6857.3206568712185</x:v>
      </x:c>
      <x:c r="L35" s="59" t="n">
        <x:v>72.94</x:v>
      </x:c>
      <x:c r="M35" s="57" t="n">
        <x:f>IFERROR(F35/(L35/3.3),"")</x:f>
        <x:v>4343.295859610638</x:v>
      </x:c>
      <x:c r="N35" s="55" t="str">
        <x:v>4</x:v>
      </x:c>
      <x:c r="O35" s="57" t="n">
        <x:v>60200</x:v>
      </x:c>
      <x:c r="P35" s="60" t="n">
        <x:f>IFERROR(F35/O35-1,"")</x:f>
        <x:v>0.5946843853820598</x:v>
      </x:c>
      <x:c r="Q35" s="55" t="n">
        <x:v>1994</x:v>
      </x:c>
      <x:c r="R35" s="55" t="str">
        <x:v>비지하</x:v>
      </x:c>
      <x:c r="S35" s="55" t="str">
        <x:v>중개거래</x:v>
      </x:c>
      <x:c r="T35" s="55" t="str">
        <x:v>서울 용산구</x:v>
      </x:c>
      <x:c r="U35" s="55" t="n">
        <x:v>25533765</x:v>
      </x:c>
      <x:c r="V35" s="55" t="str">
        <x:v>활성</x:v>
      </x:c>
    </x:row>
    <x:row r="36">
      <x:c r="A36" s="55" t="n">
        <x:v>32</x:v>
      </x:c>
      <x:c r="B36" s="56" t="n">
        <x:v>45980</x:v>
      </x:c>
      <x:c r="C36" s="61" t="str">
        <x:v>청파동1가 89-8</x:v>
      </x:c>
      <x:c r="D36" s="61" t="str">
        <x:v>아튼빌라</x:v>
      </x:c>
      <x:c r="E36" s="55" t="str">
        <x:v>다세대주택</x:v>
      </x:c>
      <x:c r="F36" s="57" t="n">
        <x:v>70000</x:v>
      </x:c>
      <x:c r="G36" s="58" t="n">
        <x:f>IFERROR(F36/10000,"")</x:f>
        <x:v>7</x:v>
      </x:c>
      <x:c r="H36" s="55" t="str">
        <x:v>다세대</x:v>
      </x:c>
      <x:c r="I36" s="59" t="n">
        <x:v>28.83</x:v>
      </x:c>
      <x:c r="J36" s="59" t="n">
        <x:f>IFERROR(I36/3.3058,"")</x:f>
        <x:v>8.7210357553391</x:v>
      </x:c>
      <x:c r="K36" s="57" t="n">
        <x:f>IFERROR(F36/J36,"")</x:f>
        <x:v>8026.56954561221</x:v>
      </x:c>
      <x:c r="L36" s="59" t="n">
        <x:v>36.48</x:v>
      </x:c>
      <x:c r="M36" s="57" t="n">
        <x:f>IFERROR(F36/(L36/3.3),"")</x:f>
        <x:v>6332.236842105263</x:v>
      </x:c>
      <x:c r="N36" s="55" t="str">
        <x:v>2</x:v>
      </x:c>
      <x:c r="O36" s="57" t="n">
        <x:v>36900</x:v>
      </x:c>
      <x:c r="P36" s="60" t="n">
        <x:f>IFERROR(F36/O36-1,"")</x:f>
        <x:v>0.897018970189702</x:v>
      </x:c>
      <x:c r="Q36" s="55" t="n">
        <x:v>1988</x:v>
      </x:c>
      <x:c r="R36" s="55" t="str">
        <x:v>비지하</x:v>
      </x:c>
      <x:c r="S36" s="55" t="str">
        <x:v>중개거래</x:v>
      </x:c>
      <x:c r="T36" s="55" t="str">
        <x:v>서울 용산구</x:v>
      </x:c>
      <x:c r="U36" s="55" t="n">
        <x:v>25533789</x:v>
      </x:c>
      <x:c r="V36" s="55" t="str">
        <x:v>활성</x:v>
      </x:c>
    </x:row>
    <x:row r="37">
      <x:c r="A37" s="55" t="n">
        <x:v>33</x:v>
      </x:c>
      <x:c r="B37" s="56" t="n">
        <x:v>45978</x:v>
      </x:c>
      <x:c r="C37" s="61" t="str">
        <x:v>청파동1가 1-46</x:v>
      </x:c>
      <x:c r="D37" s="61" t="str">
        <x:v>에버그린</x:v>
      </x:c>
      <x:c r="E37" s="55" t="str">
        <x:v>다세대주택</x:v>
      </x:c>
      <x:c r="F37" s="57" t="n">
        <x:v>88000</x:v>
      </x:c>
      <x:c r="G37" s="58" t="n">
        <x:f>IFERROR(F37/10000,"")</x:f>
        <x:v>8.8</x:v>
      </x:c>
      <x:c r="H37" s="55" t="str">
        <x:v>다세대</x:v>
      </x:c>
      <x:c r="I37" s="59" t="n">
        <x:v>29.8</x:v>
      </x:c>
      <x:c r="J37" s="59" t="n">
        <x:f>IFERROR(I37/3.3058,"")</x:f>
        <x:v>9.014459434932542</x:v>
      </x:c>
      <x:c r="K37" s="57" t="n">
        <x:f>IFERROR(F37/J37,"")</x:f>
        <x:v>9762.093959731545</x:v>
      </x:c>
      <x:c r="L37" s="59" t="n">
        <x:v>61.74</x:v>
      </x:c>
      <x:c r="M37" s="57" t="n">
        <x:f>IFERROR(F37/(L37/3.3),"")</x:f>
        <x:v>4703.595724003887</x:v>
      </x:c>
      <x:c r="N37" s="55" t="str">
        <x:v>3</x:v>
      </x:c>
      <x:c r="O37" s="57" t="n">
        <x:v>45800</x:v>
      </x:c>
      <x:c r="P37" s="60" t="n">
        <x:f>IFERROR(F37/O37-1,"")</x:f>
        <x:v>0.9213973799126638</x:v>
      </x:c>
      <x:c r="Q37" s="55" t="n">
        <x:v>2008</x:v>
      </x:c>
      <x:c r="R37" s="55" t="str">
        <x:v>비지하</x:v>
      </x:c>
      <x:c r="S37" s="55" t="str">
        <x:v>중개거래</x:v>
      </x:c>
      <x:c r="T37" s="55" t="str">
        <x:v>서울 서대문구, 서울 용산구</x:v>
      </x:c>
      <x:c r="U37" s="55" t="n">
        <x:v>25533783</x:v>
      </x:c>
      <x:c r="V37" s="55" t="str">
        <x:v>활성</x:v>
      </x:c>
    </x:row>
    <x:row r="38">
      <x:c r="A38" s="55" t="n">
        <x:v>34</x:v>
      </x:c>
      <x:c r="B38" s="56" t="n">
        <x:v>45973</x:v>
      </x:c>
      <x:c r="C38" s="61" t="str">
        <x:v>청파동1가 89-5</x:v>
      </x:c>
      <x:c r="D38" s="61" t="str">
        <x:v>동궁빌라</x:v>
      </x:c>
      <x:c r="E38" s="55" t="str">
        <x:v>다세대주택</x:v>
      </x:c>
      <x:c r="F38" s="57" t="n">
        <x:v>92000</x:v>
      </x:c>
      <x:c r="G38" s="58" t="n">
        <x:f>IFERROR(F38/10000,"")</x:f>
        <x:v>9.2</x:v>
      </x:c>
      <x:c r="H38" s="55" t="str">
        <x:v>다세대</x:v>
      </x:c>
      <x:c r="I38" s="59" t="n">
        <x:v>33.058</x:v>
      </x:c>
      <x:c r="J38" s="59" t="n">
        <x:f>IFERROR(I38/3.3058,"")</x:f>
        <x:v>10</x:v>
      </x:c>
      <x:c r="K38" s="57" t="n">
        <x:f>IFERROR(F38/J38,"")</x:f>
        <x:v>9200</x:v>
      </x:c>
      <x:c r="L38" s="59" t="n">
        <x:v>60.06</x:v>
      </x:c>
      <x:c r="M38" s="57" t="n">
        <x:f>IFERROR(F38/(L38/3.3),"")</x:f>
        <x:v>5054.945054945054</x:v>
      </x:c>
      <x:c r="N38" s="55" t="str">
        <x:v>3</x:v>
      </x:c>
      <x:c r="O38" s="57" t="n">
        <x:v>51400</x:v>
      </x:c>
      <x:c r="P38" s="60" t="n">
        <x:f>IFERROR(F38/O38-1,"")</x:f>
        <x:v>0.7898832684824904</x:v>
      </x:c>
      <x:c r="Q38" s="55" t="n">
        <x:v>2009</x:v>
      </x:c>
      <x:c r="R38" s="55" t="str">
        <x:v>비지하</x:v>
      </x:c>
      <x:c r="S38" s="55" t="str">
        <x:v>중개거래</x:v>
      </x:c>
      <x:c r="T38" s="55" t="str">
        <x:v>서울 용산구</x:v>
      </x:c>
      <x:c r="U38" s="55" t="n">
        <x:v>25533786</x:v>
      </x:c>
      <x:c r="V38" s="55" t="str">
        <x:v>활성</x:v>
      </x:c>
    </x:row>
    <x:row r="39">
      <x:c r="A39" s="55" t="n">
        <x:v>35</x:v>
      </x:c>
      <x:c r="B39" s="56" t="n">
        <x:v>45969</x:v>
      </x:c>
      <x:c r="C39" s="61" t="str">
        <x:v>청파동1가 89-182</x:v>
      </x:c>
      <x:c r="D39" s="61" t="str">
        <x:v>(89-182)</x:v>
      </x:c>
      <x:c r="E39" s="55" t="str">
        <x:v>다세대주택</x:v>
      </x:c>
      <x:c r="F39" s="57" t="n">
        <x:v>65000</x:v>
      </x:c>
      <x:c r="G39" s="58" t="n">
        <x:f>IFERROR(F39/10000,"")</x:f>
        <x:v>6.5</x:v>
      </x:c>
      <x:c r="H39" s="55" t="str">
        <x:v>다세대</x:v>
      </x:c>
      <x:c r="I39" s="59" t="n">
        <x:v>24.7</x:v>
      </x:c>
      <x:c r="J39" s="59" t="n">
        <x:f>IFERROR(I39/3.3058,"")</x:f>
        <x:v>7.471716377276302</x:v>
      </x:c>
      <x:c r="K39" s="57" t="n">
        <x:f>IFERROR(F39/J39,"")</x:f>
        <x:v>8699.473684210527</x:v>
      </x:c>
      <x:c r="L39" s="59" t="n">
        <x:v>35</x:v>
      </x:c>
      <x:c r="M39" s="57" t="n">
        <x:f>IFERROR(F39/(L39/3.3),"")</x:f>
        <x:v>6128.5714285714275</x:v>
      </x:c>
      <x:c r="N39" s="55" t="str">
        <x:v>1</x:v>
      </x:c>
      <x:c r="O39" s="57" t="n">
        <x:v>32500</x:v>
      </x:c>
      <x:c r="P39" s="60" t="n">
        <x:f>IFERROR(F39/O39-1,"")</x:f>
        <x:v>1</x:v>
      </x:c>
      <x:c r="Q39" s="55" t="n">
        <x:v>1986</x:v>
      </x:c>
      <x:c r="R39" s="55" t="str">
        <x:v>비지하</x:v>
      </x:c>
      <x:c r="S39" s="55" t="str">
        <x:v>중개거래</x:v>
      </x:c>
      <x:c r="T39" s="55" t="str">
        <x:v>서울 마포구, 서울 용산구</x:v>
      </x:c>
      <x:c r="U39" s="55" t="n">
        <x:v>25533806</x:v>
      </x:c>
      <x:c r="V39" s="55" t="str">
        <x:v>활성</x:v>
      </x:c>
    </x:row>
    <x:row r="40">
      <x:c r="A40" s="55" t="n">
        <x:v>36</x:v>
      </x:c>
      <x:c r="B40" s="56" t="n">
        <x:v>45958</x:v>
      </x:c>
      <x:c r="C40" s="61" t="str">
        <x:v>청파동1가 4-2</x:v>
      </x:c>
      <x:c r="D40" s="61" t="str">
        <x:v>안드레아빌라</x:v>
      </x:c>
      <x:c r="E40" s="55" t="str">
        <x:v>다세대주택</x:v>
      </x:c>
      <x:c r="F40" s="57" t="n">
        <x:v>83000</x:v>
      </x:c>
      <x:c r="G40" s="58" t="n">
        <x:f>IFERROR(F40/10000,"")</x:f>
        <x:v>8.3</x:v>
      </x:c>
      <x:c r="H40" s="55" t="str">
        <x:v>다세대</x:v>
      </x:c>
      <x:c r="I40" s="59" t="n">
        <x:v>30.37</x:v>
      </x:c>
      <x:c r="J40" s="59" t="n">
        <x:f>IFERROR(I40/3.3058,"")</x:f>
        <x:v>9.186883659023534</x:v>
      </x:c>
      <x:c r="K40" s="57" t="n">
        <x:f>IFERROR(F40/J40,"")</x:f>
        <x:v>9034.61969048403</x:v>
      </x:c>
      <x:c r="L40" s="59" t="n">
        <x:v>59.85</x:v>
      </x:c>
      <x:c r="M40" s="57" t="n">
        <x:f>IFERROR(F40/(L40/3.3),"")</x:f>
        <x:v>4576.441102756892</x:v>
      </x:c>
      <x:c r="N40" s="55" t="str">
        <x:v>1</x:v>
      </x:c>
      <x:c r="O40" s="57" t="n">
        <x:v>43300</x:v>
      </x:c>
      <x:c r="P40" s="60" t="n">
        <x:f>IFERROR(F40/O40-1,"")</x:f>
        <x:v>0.9168591224018476</x:v>
      </x:c>
      <x:c r="Q40" s="55" t="n">
        <x:v>2001</x:v>
      </x:c>
      <x:c r="R40" s="55" t="str">
        <x:v>비지하</x:v>
      </x:c>
      <x:c r="S40" s="55" t="str">
        <x:v>중개거래</x:v>
      </x:c>
      <x:c r="T40" s="55" t="str">
        <x:v>서울 양천구, 서울 용산구</x:v>
      </x:c>
      <x:c r="U40" s="55" t="n">
        <x:v>8516621</x:v>
      </x:c>
      <x:c r="V40" s="55" t="str">
        <x:v>활성</x:v>
      </x:c>
    </x:row>
    <x:row r="41">
      <x:c r="A41" s="55" t="n">
        <x:v>37</x:v>
      </x:c>
      <x:c r="B41" s="56" t="n">
        <x:v>45909</x:v>
      </x:c>
      <x:c r="C41" s="61" t="str">
        <x:v>청파동1가 89-15</x:v>
      </x:c>
      <x:c r="D41" s="61" t="str">
        <x:v>미산빌2</x:v>
      </x:c>
      <x:c r="E41" s="55" t="str">
        <x:v>다세대주택</x:v>
      </x:c>
      <x:c r="F41" s="57" t="n">
        <x:v>64500</x:v>
      </x:c>
      <x:c r="G41" s="58" t="n">
        <x:f>IFERROR(F41/10000,"")</x:f>
        <x:v>6.45</x:v>
      </x:c>
      <x:c r="H41" s="55" t="str">
        <x:v>다세대</x:v>
      </x:c>
      <x:c r="I41" s="59" t="n">
        <x:v>17.1</x:v>
      </x:c>
      <x:c r="J41" s="59" t="n">
        <x:f>IFERROR(I41/3.3058,"")</x:f>
        <x:v>5.172726722729748</x:v>
      </x:c>
      <x:c r="K41" s="57" t="n">
        <x:f>IFERROR(F41/J41,"")</x:f>
        <x:v>12469.245614035088</x:v>
      </x:c>
      <x:c r="L41" s="59" t="n">
        <x:v>18.37</x:v>
      </x:c>
      <x:c r="M41" s="57" t="n">
        <x:f>IFERROR(F41/(L41/3.3),"")</x:f>
        <x:v>11586.826347305388</x:v>
      </x:c>
      <x:c r="N41" s="55" t="str">
        <x:v>4</x:v>
      </x:c>
      <x:c r="O41" s="57" t="n">
        <x:v>32100</x:v>
      </x:c>
      <x:c r="P41" s="60" t="n">
        <x:f>IFERROR(F41/O41-1,"")</x:f>
        <x:v>1.0093457943925235</x:v>
      </x:c>
      <x:c r="Q41" s="55" t="n">
        <x:v>2021</x:v>
      </x:c>
      <x:c r="R41" s="55" t="str">
        <x:v>비지하</x:v>
      </x:c>
      <x:c r="S41" s="55" t="str">
        <x:v>중개거래</x:v>
      </x:c>
      <x:c r="T41" s="55" t="str">
        <x:v>서울 서대문구, 서울 용산구</x:v>
      </x:c>
      <x:c r="U41" s="55" t="n">
        <x:v>8516582</x:v>
      </x:c>
      <x:c r="V41" s="55" t="str">
        <x:v>활성</x:v>
      </x:c>
    </x:row>
    <x:row r="42">
      <x:c r="A42" s="55" t="n">
        <x:v>38</x:v>
      </x:c>
      <x:c r="B42" s="56" t="n">
        <x:v>45906</x:v>
      </x:c>
      <x:c r="C42" s="61" t="str">
        <x:v>청파동1가 1-45</x:v>
      </x:c>
      <x:c r="D42" s="61" t="str">
        <x:v>썬하우스</x:v>
      </x:c>
      <x:c r="E42" s="55" t="str">
        <x:v>다세대주택</x:v>
      </x:c>
      <x:c r="F42" s="57" t="n">
        <x:v>72000</x:v>
      </x:c>
      <x:c r="G42" s="58" t="n">
        <x:f>IFERROR(F42/10000,"")</x:f>
        <x:v>7.2</x:v>
      </x:c>
      <x:c r="H42" s="55" t="str">
        <x:v>다세대</x:v>
      </x:c>
      <x:c r="I42" s="59" t="n">
        <x:v>35.835</x:v>
      </x:c>
      <x:c r="J42" s="59" t="n">
        <x:f>IFERROR(I42/3.3058,"")</x:f>
        <x:v>10.840038719825762</x:v>
      </x:c>
      <x:c r="K42" s="57" t="n">
        <x:f>IFERROR(F42/J42,"")</x:f>
        <x:v>6642.042695688572</x:v>
      </x:c>
      <x:c r="L42" s="59" t="n">
        <x:v>64.24</x:v>
      </x:c>
      <x:c r="M42" s="57" t="n">
        <x:f>IFERROR(F42/(L42/3.3),"")</x:f>
        <x:v>3698.6301369863017</x:v>
      </x:c>
      <x:c r="N42" s="55" t="str">
        <x:v>4</x:v>
      </x:c>
      <x:c r="O42" s="57" t="n">
        <x:v>43200</x:v>
      </x:c>
      <x:c r="P42" s="60" t="n">
        <x:f>IFERROR(F42/O42-1,"")</x:f>
        <x:v>0.6666666666666667</x:v>
      </x:c>
      <x:c r="Q42" s="55" t="n">
        <x:v>2003</x:v>
      </x:c>
      <x:c r="R42" s="55" t="str">
        <x:v>비지하</x:v>
      </x:c>
      <x:c r="S42" s="55" t="str">
        <x:v>중개거래</x:v>
      </x:c>
      <x:c r="T42" s="55" t="str">
        <x:v>서울 용산구</x:v>
      </x:c>
      <x:c r="U42" s="55" t="n">
        <x:v>8516585</x:v>
      </x:c>
      <x:c r="V42" s="55" t="str">
        <x:v>활성</x:v>
      </x:c>
    </x:row>
    <x:row r="43">
      <x:c r="A43" s="55" t="n">
        <x:v>39</x:v>
      </x:c>
      <x:c r="B43" s="56" t="n">
        <x:v>45905</x:v>
      </x:c>
      <x:c r="C43" s="61" t="str">
        <x:v>청파동1가 15-1</x:v>
      </x:c>
      <x:c r="D43" s="61" t="str">
        <x:v>진성아트빌(15-1)</x:v>
      </x:c>
      <x:c r="E43" s="55" t="str">
        <x:v>다세대주택</x:v>
      </x:c>
      <x:c r="F43" s="57" t="n">
        <x:v>79500</x:v>
      </x:c>
      <x:c r="G43" s="58" t="n">
        <x:f>IFERROR(F43/10000,"")</x:f>
        <x:v>7.95</x:v>
      </x:c>
      <x:c r="H43" s="55" t="str">
        <x:v>다세대</x:v>
      </x:c>
      <x:c r="I43" s="59" t="n">
        <x:v>36.36</x:v>
      </x:c>
      <x:c r="J43" s="59" t="n">
        <x:f>IFERROR(I43/3.3058,"")</x:f>
        <x:v>10.998850505172726</x:v>
      </x:c>
      <x:c r="K43" s="57" t="n">
        <x:f>IFERROR(F43/J43,"")</x:f>
        <x:v>7228.028052805281</x:v>
      </x:c>
      <x:c r="L43" s="59" t="n">
        <x:v>50.02</x:v>
      </x:c>
      <x:c r="M43" s="57" t="n">
        <x:f>IFERROR(F43/(L43/3.3),"")</x:f>
        <x:v>5244.902039184325</x:v>
      </x:c>
      <x:c r="N43" s="55" t="str">
        <x:v>4</x:v>
      </x:c>
      <x:c r="O43" s="57" t="n">
        <x:v>45100</x:v>
      </x:c>
      <x:c r="P43" s="60" t="n">
        <x:f>IFERROR(F43/O43-1,"")</x:f>
        <x:v>0.7627494456762749</x:v>
      </x:c>
      <x:c r="Q43" s="55" t="n">
        <x:v>2007</x:v>
      </x:c>
      <x:c r="R43" s="55" t="str">
        <x:v>비지하</x:v>
      </x:c>
      <x:c r="S43" s="55" t="str">
        <x:v>중개거래</x:v>
      </x:c>
      <x:c r="T43" s="55" t="str">
        <x:v>경기 성남시 분당구, 서울 용산구</x:v>
      </x:c>
      <x:c r="U43" s="55" t="n">
        <x:v>8516581</x:v>
      </x:c>
      <x:c r="V43" s="55" t="str">
        <x:v>활성</x:v>
      </x:c>
    </x:row>
    <x:row r="44">
      <x:c r="A44" s="55" t="n">
        <x:v>40</x:v>
      </x:c>
      <x:c r="B44" s="56" t="n">
        <x:v>45902</x:v>
      </x:c>
      <x:c r="C44" s="61" t="str">
        <x:v>청파동1가 89-8</x:v>
      </x:c>
      <x:c r="D44" s="61" t="str">
        <x:v>아튼빌라</x:v>
      </x:c>
      <x:c r="E44" s="55" t="str">
        <x:v>다세대주택</x:v>
      </x:c>
      <x:c r="F44" s="57" t="n">
        <x:v>71000</x:v>
      </x:c>
      <x:c r="G44" s="58" t="n">
        <x:f>IFERROR(F44/10000,"")</x:f>
        <x:v>7.1</x:v>
      </x:c>
      <x:c r="H44" s="55" t="str">
        <x:v>다세대</x:v>
      </x:c>
      <x:c r="I44" s="59" t="n">
        <x:v>28.83</x:v>
      </x:c>
      <x:c r="J44" s="59" t="n">
        <x:f>IFERROR(I44/3.3058,"")</x:f>
        <x:v>8.7210357553391</x:v>
      </x:c>
      <x:c r="K44" s="57" t="n">
        <x:f>IFERROR(F44/J44,"")</x:f>
        <x:v>8141.234824835242</x:v>
      </x:c>
      <x:c r="L44" s="59" t="n">
        <x:v>36.48</x:v>
      </x:c>
      <x:c r="M44" s="57" t="n">
        <x:f>IFERROR(F44/(L44/3.3),"")</x:f>
        <x:v>6422.6973684210525</x:v>
      </x:c>
      <x:c r="N44" s="55" t="str">
        <x:v>2</x:v>
      </x:c>
      <x:c r="O44" s="57" t="n">
        <x:v>36900</x:v>
      </x:c>
      <x:c r="P44" s="60" t="n">
        <x:f>IFERROR(F44/O44-1,"")</x:f>
        <x:v>0.924119241192412</x:v>
      </x:c>
      <x:c r="Q44" s="55" t="n">
        <x:v>1988</x:v>
      </x:c>
      <x:c r="R44" s="55" t="str">
        <x:v>비지하</x:v>
      </x:c>
      <x:c r="S44" s="55" t="str">
        <x:v>중개거래</x:v>
      </x:c>
      <x:c r="T44" s="55" t="str">
        <x:v>서울 마포구, 서울 용산구</x:v>
      </x:c>
      <x:c r="U44" s="55" t="n">
        <x:v>8516586</x:v>
      </x:c>
      <x:c r="V44" s="55" t="str">
        <x:v>활성</x:v>
      </x:c>
    </x:row>
    <x:row r="45">
      <x:c r="A45" s="55" t="n">
        <x:v>41</x:v>
      </x:c>
      <x:c r="B45" s="56" t="n">
        <x:v>45902</x:v>
      </x:c>
      <x:c r="C45" s="61" t="str">
        <x:v>청파동1가 89-57</x:v>
      </x:c>
      <x:c r="D45" s="61" t="str">
        <x:v>청우빌라</x:v>
      </x:c>
      <x:c r="E45" s="55" t="str">
        <x:v>다세대주택</x:v>
      </x:c>
      <x:c r="F45" s="57" t="n">
        <x:v>70000</x:v>
      </x:c>
      <x:c r="G45" s="58" t="n">
        <x:f>IFERROR(F45/10000,"")</x:f>
        <x:v>7</x:v>
      </x:c>
      <x:c r="H45" s="55" t="str">
        <x:v>다세대</x:v>
      </x:c>
      <x:c r="I45" s="59" t="n">
        <x:v>36.92</x:v>
      </x:c>
      <x:c r="J45" s="59" t="n">
        <x:f>IFERROR(I45/3.3058,"")</x:f>
        <x:v>11.168249742876156</x:v>
      </x:c>
      <x:c r="K45" s="57" t="n">
        <x:f>IFERROR(F45/J45,"")</x:f>
        <x:v>6267.768147345612</x:v>
      </x:c>
      <x:c r="L45" s="59" t="n">
        <x:v>48.66</x:v>
      </x:c>
      <x:c r="M45" s="57" t="n">
        <x:f>IFERROR(F45/(L45/3.3),"")</x:f>
        <x:v>4747.2256473489515</x:v>
      </x:c>
      <x:c r="N45" s="55" t="str">
        <x:v>2</x:v>
      </x:c>
      <x:c r="O45" s="57" t="n">
        <x:v>38100</x:v>
      </x:c>
      <x:c r="P45" s="60" t="n">
        <x:f>IFERROR(F45/O45-1,"")</x:f>
        <x:v>0.837270341207349</x:v>
      </x:c>
      <x:c r="Q45" s="55" t="n">
        <x:v>1991</x:v>
      </x:c>
      <x:c r="R45" s="55" t="str">
        <x:v>비지하</x:v>
      </x:c>
      <x:c r="S45" s="55" t="str">
        <x:v>중개거래</x:v>
      </x:c>
      <x:c r="T45" s="55" t="str">
        <x:v>서울 용산구</x:v>
      </x:c>
      <x:c r="U45" s="55" t="n">
        <x:v>8516540</x:v>
      </x:c>
      <x:c r="V45" s="55" t="str">
        <x:v>활성</x:v>
      </x:c>
    </x:row>
    <x:row r="46">
      <x:c r="A46" s="55" t="n">
        <x:v>42</x:v>
      </x:c>
      <x:c r="B46" s="56" t="n">
        <x:v>45887</x:v>
      </x:c>
      <x:c r="C46" s="61" t="str">
        <x:v>청파동1가 4-2</x:v>
      </x:c>
      <x:c r="D46" s="61" t="str">
        <x:v>안드레아빌라</x:v>
      </x:c>
      <x:c r="E46" s="55" t="str">
        <x:v>다세대주택</x:v>
      </x:c>
      <x:c r="F46" s="57" t="n">
        <x:v>78000</x:v>
      </x:c>
      <x:c r="G46" s="58" t="n">
        <x:f>IFERROR(F46/10000,"")</x:f>
        <x:v>7.8</x:v>
      </x:c>
      <x:c r="H46" s="55" t="str">
        <x:v>다세대</x:v>
      </x:c>
      <x:c r="I46" s="59" t="n">
        <x:v>30.37</x:v>
      </x:c>
      <x:c r="J46" s="59" t="n">
        <x:f>IFERROR(I46/3.3058,"")</x:f>
        <x:v>9.186883659023534</x:v>
      </x:c>
      <x:c r="K46" s="57" t="n">
        <x:f>IFERROR(F46/J46,"")</x:f>
        <x:v>8490.3654922621</x:v>
      </x:c>
      <x:c r="L46" s="59" t="n">
        <x:v>59.85</x:v>
      </x:c>
      <x:c r="M46" s="57" t="n">
        <x:f>IFERROR(F46/(L46/3.3),"")</x:f>
        <x:v>4300.751879699248</x:v>
      </x:c>
      <x:c r="N46" s="55" t="str">
        <x:v>4</x:v>
      </x:c>
      <x:c r="O46" s="57" t="n">
        <x:v>43300</x:v>
      </x:c>
      <x:c r="P46" s="60" t="n">
        <x:f>IFERROR(F46/O46-1,"")</x:f>
        <x:v>0.8013856812933025</x:v>
      </x:c>
      <x:c r="Q46" s="55" t="n">
        <x:v>2001</x:v>
      </x:c>
      <x:c r="R46" s="55" t="str">
        <x:v>비지하</x:v>
      </x:c>
      <x:c r="S46" s="55" t="str">
        <x:v>중개거래</x:v>
      </x:c>
      <x:c r="T46" s="55" t="str">
        <x:v>서울 마포구, 서울 용산구</x:v>
      </x:c>
      <x:c r="U46" s="55" t="n">
        <x:v>8516459</x:v>
      </x:c>
      <x:c r="V46" s="55" t="str">
        <x:v>활성</x:v>
      </x:c>
    </x:row>
    <x:row r="47">
      <x:c r="A47" s="55" t="n">
        <x:v>43</x:v>
      </x:c>
      <x:c r="B47" s="56" t="n">
        <x:v>45864</x:v>
      </x:c>
      <x:c r="C47" s="61" t="str">
        <x:v>청파동1가 89-31</x:v>
      </x:c>
      <x:c r="D47" s="61" t="str">
        <x:v>프라임빌(89-31)</x:v>
      </x:c>
      <x:c r="E47" s="55" t="str">
        <x:v>다세대주택</x:v>
      </x:c>
      <x:c r="F47" s="57" t="n">
        <x:v>81000</x:v>
      </x:c>
      <x:c r="G47" s="58" t="n">
        <x:f>IFERROR(F47/10000,"")</x:f>
        <x:v>8.1</x:v>
      </x:c>
      <x:c r="H47" s="55" t="str">
        <x:v>다세대</x:v>
      </x:c>
      <x:c r="I47" s="59" t="n">
        <x:v>33.06</x:v>
      </x:c>
      <x:c r="J47" s="59" t="n">
        <x:f>IFERROR(I47/3.3058,"")</x:f>
        <x:v>10.000604997277513</x:v>
      </x:c>
      <x:c r="K47" s="57" t="n">
        <x:f>IFERROR(F47/J47,"")</x:f>
        <x:v>8099.509981851179</x:v>
      </x:c>
      <x:c r="L47" s="59" t="n">
        <x:v>50.24</x:v>
      </x:c>
      <x:c r="M47" s="57" t="n">
        <x:f>IFERROR(F47/(L47/3.3),"")</x:f>
        <x:v>5320.461783439489</x:v>
      </x:c>
      <x:c r="N47" s="55" t="str">
        <x:v>2</x:v>
      </x:c>
      <x:c r="O47" s="57" t="n">
        <x:v>49800</x:v>
      </x:c>
      <x:c r="P47" s="60" t="n">
        <x:f>IFERROR(F47/O47-1,"")</x:f>
        <x:v>0.6265060240963856</x:v>
      </x:c>
      <x:c r="Q47" s="55" t="n">
        <x:v>2008</x:v>
      </x:c>
      <x:c r="R47" s="55" t="str">
        <x:v>비지하</x:v>
      </x:c>
      <x:c r="S47" s="55" t="str">
        <x:v>중개거래</x:v>
      </x:c>
      <x:c r="T47" s="55" t="str">
        <x:v>서울 용산구</x:v>
      </x:c>
      <x:c r="U47" s="55" t="n">
        <x:v>8516337</x:v>
      </x:c>
      <x:c r="V47" s="55" t="str">
        <x:v>활성</x:v>
      </x:c>
    </x:row>
    <x:row r="48">
      <x:c r="A48" s="55" t="n">
        <x:v>44</x:v>
      </x:c>
      <x:c r="B48" s="56" t="n">
        <x:v>45836</x:v>
      </x:c>
      <x:c r="C48" s="61" t="str">
        <x:v>청파동1가 89-31</x:v>
      </x:c>
      <x:c r="D48" s="61" t="str">
        <x:v>프라임빌(89-31)</x:v>
      </x:c>
      <x:c r="E48" s="55" t="str">
        <x:v>다세대주택</x:v>
      </x:c>
      <x:c r="F48" s="57" t="n">
        <x:v>80000</x:v>
      </x:c>
      <x:c r="G48" s="58" t="n">
        <x:f>IFERROR(F48/10000,"")</x:f>
        <x:v>8</x:v>
      </x:c>
      <x:c r="H48" s="55" t="str">
        <x:v>다세대</x:v>
      </x:c>
      <x:c r="I48" s="59" t="n">
        <x:v>33.06</x:v>
      </x:c>
      <x:c r="J48" s="59" t="n">
        <x:f>IFERROR(I48/3.3058,"")</x:f>
        <x:v>10.000604997277513</x:v>
      </x:c>
      <x:c r="K48" s="57" t="n">
        <x:f>IFERROR(F48/J48,"")</x:f>
        <x:v>7999.516031457954</x:v>
      </x:c>
      <x:c r="L48" s="59" t="n">
        <x:v>50.67</x:v>
      </x:c>
      <x:c r="M48" s="57" t="n">
        <x:f>IFERROR(F48/(L48/3.3),"")</x:f>
        <x:v>5210.183540556542</x:v>
      </x:c>
      <x:c r="N48" s="55" t="str">
        <x:v>2</x:v>
      </x:c>
      <x:c r="O48" s="57" t="n">
        <x:v>49800</x:v>
      </x:c>
      <x:c r="P48" s="60" t="n">
        <x:f>IFERROR(F48/O48-1,"")</x:f>
        <x:v>0.606425702811245</x:v>
      </x:c>
      <x:c r="Q48" s="55" t="n">
        <x:v>2008</x:v>
      </x:c>
      <x:c r="R48" s="55" t="str">
        <x:v>비지하</x:v>
      </x:c>
      <x:c r="S48" s="55" t="str">
        <x:v>중개거래</x:v>
      </x:c>
      <x:c r="T48" s="55" t="str">
        <x:v>서울 용산구</x:v>
      </x:c>
      <x:c r="U48" s="55" t="n">
        <x:v>8516213</x:v>
      </x:c>
      <x:c r="V48" s="55" t="str">
        <x:v>활성</x:v>
      </x:c>
    </x:row>
    <x:row r="49">
      <x:c r="A49" s="55" t="n">
        <x:v>45</x:v>
      </x:c>
      <x:c r="B49" s="56" t="n">
        <x:v>45831</x:v>
      </x:c>
      <x:c r="C49" s="61" t="str">
        <x:v>청파동1가 58-14</x:v>
      </x:c>
      <x:c r="D49" s="61" t="str">
        <x:v>행복신양</x:v>
      </x:c>
      <x:c r="E49" s="55" t="str">
        <x:v>다세대주택</x:v>
      </x:c>
      <x:c r="F49" s="57" t="n">
        <x:v>70000</x:v>
      </x:c>
      <x:c r="G49" s="58" t="n">
        <x:f>IFERROR(F49/10000,"")</x:f>
        <x:v>7</x:v>
      </x:c>
      <x:c r="H49" s="55" t="str">
        <x:v>다세대</x:v>
      </x:c>
      <x:c r="I49" s="59" t="n">
        <x:v>19.34</x:v>
      </x:c>
      <x:c r="J49" s="59" t="n">
        <x:f>IFERROR(I49/3.3058,"")</x:f>
        <x:v>5.8503236735434685</x:v>
      </x:c>
      <x:c r="K49" s="57" t="n">
        <x:f>IFERROR(F49/J49,"")</x:f>
        <x:v>11965.149948293692</x:v>
      </x:c>
      <x:c r="L49" s="59" t="n">
        <x:v>26.8</x:v>
      </x:c>
      <x:c r="M49" s="57" t="n">
        <x:f>IFERROR(F49/(L49/3.3),"")</x:f>
        <x:v>8619.402985074626</x:v>
      </x:c>
      <x:c r="N49" s="55" t="str">
        <x:v>3</x:v>
      </x:c>
      <x:c r="O49" s="57" t="n">
        <x:v>40800</x:v>
      </x:c>
      <x:c r="P49" s="60" t="n">
        <x:f>IFERROR(F49/O49-1,"")</x:f>
        <x:v>0.7156862745098038</x:v>
      </x:c>
      <x:c r="Q49" s="55" t="n">
        <x:v>2021</x:v>
      </x:c>
      <x:c r="R49" s="55" t="str">
        <x:v>비지하</x:v>
      </x:c>
      <x:c r="S49" s="55" t="str">
        <x:v>중개거래</x:v>
      </x:c>
      <x:c r="T49" s="55" t="str">
        <x:v>서울 용산구</x:v>
      </x:c>
      <x:c r="U49" s="55" t="n">
        <x:v>8516245</x:v>
      </x:c>
      <x:c r="V49" s="55" t="str">
        <x:v>활성</x:v>
      </x:c>
    </x:row>
    <x:row r="50">
      <x:c r="A50" s="55" t="n">
        <x:v>46</x:v>
      </x:c>
      <x:c r="B50" s="56" t="n">
        <x:v>45813</x:v>
      </x:c>
      <x:c r="C50" s="61" t="str">
        <x:v>청파동1가 132-14</x:v>
      </x:c>
      <x:c r="D50" s="61" t="str">
        <x:v>미샹보르2차</x:v>
      </x:c>
      <x:c r="E50" s="55" t="str">
        <x:v>다세대주택</x:v>
      </x:c>
      <x:c r="F50" s="57" t="n">
        <x:v>68000</x:v>
      </x:c>
      <x:c r="G50" s="58" t="n">
        <x:f>IFERROR(F50/10000,"")</x:f>
        <x:v>6.8</x:v>
      </x:c>
      <x:c r="H50" s="55" t="str">
        <x:v>다세대</x:v>
      </x:c>
      <x:c r="I50" s="59" t="n">
        <x:v>21.65</x:v>
      </x:c>
      <x:c r="J50" s="59" t="n">
        <x:f>IFERROR(I50/3.3058,"")</x:f>
        <x:v>6.549095529070119</x:v>
      </x:c>
      <x:c r="K50" s="57" t="n">
        <x:f>IFERROR(F50/J50,"")</x:f>
        <x:v>10383.113163972288</x:v>
      </x:c>
      <x:c r="L50" s="59" t="n">
        <x:v>29.36</x:v>
      </x:c>
      <x:c r="M50" s="57" t="n">
        <x:f>IFERROR(F50/(L50/3.3),"")</x:f>
        <x:v>7643.051771117167</x:v>
      </x:c>
      <x:c r="N50" s="55" t="str">
        <x:v>5</x:v>
      </x:c>
      <x:c r="O50" s="57" t="n">
        <x:v>43300</x:v>
      </x:c>
      <x:c r="P50" s="60" t="n">
        <x:f>IFERROR(F50/O50-1,"")</x:f>
        <x:v>0.5704387990762125</x:v>
      </x:c>
      <x:c r="Q50" s="55" t="n">
        <x:v>2019</x:v>
      </x:c>
      <x:c r="R50" s="55" t="str">
        <x:v>비지하</x:v>
      </x:c>
      <x:c r="S50" s="55" t="str">
        <x:v>중개거래</x:v>
      </x:c>
      <x:c r="T50" s="55" t="str">
        <x:v>서울 용산구</x:v>
      </x:c>
      <x:c r="U50" s="55" t="n">
        <x:v>8516295</x:v>
      </x:c>
      <x:c r="V50" s="55" t="str">
        <x:v>활성</x:v>
      </x:c>
    </x:row>
    <x:row r="51">
      <x:c r="A51" s="55" t="n">
        <x:v>47</x:v>
      </x:c>
      <x:c r="B51" s="56" t="n">
        <x:v>45792</x:v>
      </x:c>
      <x:c r="C51" s="61" t="str">
        <x:v>청파동1가 1-46</x:v>
      </x:c>
      <x:c r="D51" s="61" t="str">
        <x:v>에버그린</x:v>
      </x:c>
      <x:c r="E51" s="55" t="str">
        <x:v>다세대주택</x:v>
      </x:c>
      <x:c r="F51" s="57" t="n">
        <x:v>80000</x:v>
      </x:c>
      <x:c r="G51" s="58" t="n">
        <x:f>IFERROR(F51/10000,"")</x:f>
        <x:v>8</x:v>
      </x:c>
      <x:c r="H51" s="55" t="str">
        <x:v>다세대</x:v>
      </x:c>
      <x:c r="I51" s="59" t="n">
        <x:v>36.4</x:v>
      </x:c>
      <x:c r="J51" s="59" t="n">
        <x:f>IFERROR(I51/3.3058,"")</x:f>
        <x:v>11.010950450722971</x:v>
      </x:c>
      <x:c r="K51" s="57" t="n">
        <x:f>IFERROR(F51/J51,"")</x:f>
        <x:v>7265.494505494506</x:v>
      </x:c>
      <x:c r="L51" s="59" t="n">
        <x:v>74.37</x:v>
      </x:c>
      <x:c r="M51" s="57" t="n">
        <x:f>IFERROR(F51/(L51/3.3),"")</x:f>
        <x:v>3549.818475191609</x:v>
      </x:c>
      <x:c r="N51" s="55" t="str">
        <x:v>1</x:v>
      </x:c>
      <x:c r="O51" s="57" t="n">
        <x:v>54200</x:v>
      </x:c>
      <x:c r="P51" s="60" t="n">
        <x:f>IFERROR(F51/O51-1,"")</x:f>
        <x:v>0.47601476014760147</x:v>
      </x:c>
      <x:c r="Q51" s="55" t="n">
        <x:v>2008</x:v>
      </x:c>
      <x:c r="R51" s="55" t="str">
        <x:v>비지하</x:v>
      </x:c>
      <x:c r="S51" s="55" t="str">
        <x:v>중개거래</x:v>
      </x:c>
      <x:c r="T51" s="55" t="str">
        <x:v>서울 서대문구</x:v>
      </x:c>
      <x:c r="U51" s="55" t="n">
        <x:v>8516099</x:v>
      </x:c>
      <x:c r="V51" s="55" t="str">
        <x:v>활성</x:v>
      </x:c>
    </x:row>
    <x:row r="52">
      <x:c r="A52" s="55" t="n">
        <x:v>48</x:v>
      </x:c>
      <x:c r="B52" s="56" t="n">
        <x:v>45784</x:v>
      </x:c>
      <x:c r="C52" s="61" t="str">
        <x:v>청파동1가 89-27</x:v>
      </x:c>
      <x:c r="D52" s="61" t="str">
        <x:v>다인빌라(89-27)</x:v>
      </x:c>
      <x:c r="E52" s="55" t="str">
        <x:v>다세대주택</x:v>
      </x:c>
      <x:c r="F52" s="57" t="n">
        <x:v>57000</x:v>
      </x:c>
      <x:c r="G52" s="58" t="n">
        <x:f>IFERROR(F52/10000,"")</x:f>
        <x:v>5.7</x:v>
      </x:c>
      <x:c r="H52" s="55" t="str">
        <x:v>다세대</x:v>
      </x:c>
      <x:c r="I52" s="59" t="n">
        <x:v>23.14</x:v>
      </x:c>
      <x:c r="J52" s="59" t="n">
        <x:f>IFERROR(I52/3.3058,"")</x:f>
        <x:v>6.999818500816747</x:v>
      </x:c>
      <x:c r="K52" s="57" t="n">
        <x:f>IFERROR(F52/J52,"")</x:f>
        <x:v>8143.068280034572</x:v>
      </x:c>
      <x:c r="L52" s="59" t="n">
        <x:v>31.31</x:v>
      </x:c>
      <x:c r="M52" s="57" t="n">
        <x:f>IFERROR(F52/(L52/3.3),"")</x:f>
        <x:v>6007.665282657298</x:v>
      </x:c>
      <x:c r="N52" s="55" t="str">
        <x:v>1</x:v>
      </x:c>
      <x:c r="O52" s="57" t="n">
        <x:v>32900</x:v>
      </x:c>
      <x:c r="P52" s="60" t="n">
        <x:f>IFERROR(F52/O52-1,"")</x:f>
        <x:v>0.7325227963525835</x:v>
      </x:c>
      <x:c r="Q52" s="55" t="n">
        <x:v>2007</x:v>
      </x:c>
      <x:c r="R52" s="55" t="str">
        <x:v>비지하</x:v>
      </x:c>
      <x:c r="S52" s="55" t="str">
        <x:v>중개거래</x:v>
      </x:c>
      <x:c r="T52" s="55" t="str">
        <x:v>서울 강동구, 서울 용산구</x:v>
      </x:c>
      <x:c r="U52" s="55" t="n">
        <x:v>8516117</x:v>
      </x:c>
      <x:c r="V52" s="55" t="str">
        <x:v>활성</x:v>
      </x:c>
    </x:row>
    <x:row r="53">
      <x:c r="A53" s="55" t="n">
        <x:v>49</x:v>
      </x:c>
      <x:c r="B53" s="56" t="n">
        <x:v>45778</x:v>
      </x:c>
      <x:c r="C53" s="61" t="str">
        <x:v>청파동1가 58-30</x:v>
      </x:c>
      <x:c r="D53" s="61" t="str">
        <x:v>(58-30)</x:v>
      </x:c>
      <x:c r="E53" s="55" t="str">
        <x:v>다세대주택</x:v>
      </x:c>
      <x:c r="F53" s="57" t="n">
        <x:v>53000</x:v>
      </x:c>
      <x:c r="G53" s="58" t="n">
        <x:f>IFERROR(F53/10000,"")</x:f>
        <x:v>5.3</x:v>
      </x:c>
      <x:c r="H53" s="55" t="str">
        <x:v>연립</x:v>
      </x:c>
      <x:c r="I53" s="59" t="n">
        <x:v>34.84</x:v>
      </x:c>
      <x:c r="J53" s="59" t="n">
        <x:f>IFERROR(I53/3.3058,"")</x:f>
        <x:v>10.539052574263417</x:v>
      </x:c>
      <x:c r="K53" s="57" t="n">
        <x:f>IFERROR(F53/J53,"")</x:f>
        <x:v>5028.915040183696</x:v>
      </x:c>
      <x:c r="L53" s="59" t="n">
        <x:v>59.33</x:v>
      </x:c>
      <x:c r="M53" s="57" t="n">
        <x:f>IFERROR(F53/(L53/3.3),"")</x:f>
        <x:v>2947.91842238328</x:v>
      </x:c>
      <x:c r="N53" s="55" t="str">
        <x:v>3</x:v>
      </x:c>
      <x:c r="O53" s="57" t="n">
        <x:v>44900</x:v>
      </x:c>
      <x:c r="P53" s="60" t="n">
        <x:f>IFERROR(F53/O53-1,"")</x:f>
        <x:v>0.18040089086859679</x:v>
      </x:c>
      <x:c r="Q53" s="55" t="n">
        <x:v>1994</x:v>
      </x:c>
      <x:c r="R53" s="55" t="str">
        <x:v>비지하</x:v>
      </x:c>
      <x:c r="S53" s="55" t="str">
        <x:v>중개거래</x:v>
      </x:c>
      <x:c r="T53" s="55" t="str">
        <x:v>서울 영등포구</x:v>
      </x:c>
      <x:c r="U53" s="55" t="n">
        <x:v>8516121</x:v>
      </x:c>
      <x:c r="V53" s="55" t="str">
        <x:v>활성</x:v>
      </x:c>
    </x:row>
    <x:row r="54">
      <x:c r="A54" s="55" t="n">
        <x:v>50</x:v>
      </x:c>
      <x:c r="B54" s="56" t="n">
        <x:v>45756</x:v>
      </x:c>
      <x:c r="C54" s="61" t="str">
        <x:v>청파동1가 3-27</x:v>
      </x:c>
      <x:c r="D54" s="61" t="str">
        <x:v>(3-27)</x:v>
      </x:c>
      <x:c r="E54" s="55" t="str">
        <x:v>다세대주택</x:v>
      </x:c>
      <x:c r="F54" s="57" t="n">
        <x:v>70000</x:v>
      </x:c>
      <x:c r="G54" s="58" t="n">
        <x:f>IFERROR(F54/10000,"")</x:f>
        <x:v>7</x:v>
      </x:c>
      <x:c r="H54" s="55" t="str">
        <x:v>다세대</x:v>
      </x:c>
      <x:c r="I54" s="59" t="n">
        <x:v>42.42</x:v>
      </x:c>
      <x:c r="J54" s="59" t="n">
        <x:f>IFERROR(I54/3.3058,"")</x:f>
        <x:v>12.831992256034848</x:v>
      </x:c>
      <x:c r="K54" s="57" t="n">
        <x:f>IFERROR(F54/J54,"")</x:f>
        <x:v>5455.115511551155</x:v>
      </x:c>
      <x:c r="L54" s="59" t="n">
        <x:v>49.32</x:v>
      </x:c>
      <x:c r="M54" s="57" t="n">
        <x:f>IFERROR(F54/(L54/3.3),"")</x:f>
        <x:v>4683.698296836982</x:v>
      </x:c>
      <x:c r="N54" s="55" t="str">
        <x:v>2</x:v>
      </x:c>
      <x:c r="O54" s="57" t="n">
        <x:v>45600</x:v>
      </x:c>
      <x:c r="P54" s="60" t="n">
        <x:f>IFERROR(F54/O54-1,"")</x:f>
        <x:v>0.5350877192982457</x:v>
      </x:c>
      <x:c r="Q54" s="55" t="n">
        <x:v>1988</x:v>
      </x:c>
      <x:c r="R54" s="55" t="str">
        <x:v>비지하</x:v>
      </x:c>
      <x:c r="S54" s="55" t="str">
        <x:v>중개거래</x:v>
      </x:c>
      <x:c r="T54" s="55" t="str">
        <x:v>서울 마포구</x:v>
      </x:c>
      <x:c r="U54" s="55" t="n">
        <x:v>8515982</x:v>
      </x:c>
      <x:c r="V54" s="55" t="str">
        <x:v>활성</x:v>
      </x:c>
    </x:row>
    <x:row r="55">
      <x:c r="A55" s="55" t="n">
        <x:v>51</x:v>
      </x:c>
      <x:c r="B55" s="56" t="n">
        <x:v>45742</x:v>
      </x:c>
      <x:c r="C55" s="61" t="str">
        <x:v>청파동1가 91-54</x:v>
      </x:c>
      <x:c r="D55" s="61" t="str">
        <x:v>청파시온빌</x:v>
      </x:c>
      <x:c r="E55" s="55" t="str">
        <x:v>다세대주택</x:v>
      </x:c>
      <x:c r="F55" s="57" t="n">
        <x:v>51500</x:v>
      </x:c>
      <x:c r="G55" s="58" t="n">
        <x:f>IFERROR(F55/10000,"")</x:f>
        <x:v>5.15</x:v>
      </x:c>
      <x:c r="H55" s="55" t="str">
        <x:v>다세대</x:v>
      </x:c>
      <x:c r="I55" s="59" t="n">
        <x:v>20.04</x:v>
      </x:c>
      <x:c r="J55" s="59" t="n">
        <x:f>IFERROR(I55/3.3058,"")</x:f>
        <x:v>6.062072720672757</x:v>
      </x:c>
      <x:c r="K55" s="57" t="n">
        <x:f>IFERROR(F55/J55,"")</x:f>
        <x:v>8495.444111776447</x:v>
      </x:c>
      <x:c r="L55" s="59" t="n">
        <x:v>25.69</x:v>
      </x:c>
      <x:c r="M55" s="57" t="n">
        <x:f>IFERROR(F55/(L55/3.3),"")</x:f>
        <x:v>6615.414558193849</x:v>
      </x:c>
      <x:c r="N55" s="55" t="str">
        <x:v>3</x:v>
      </x:c>
      <x:c r="O55" s="57" t="n">
        <x:v>31100</x:v>
      </x:c>
      <x:c r="P55" s="60" t="n">
        <x:f>IFERROR(F55/O55-1,"")</x:f>
        <x:v>0.6559485530546625</x:v>
      </x:c>
      <x:c r="Q55" s="55" t="n">
        <x:v>2017</x:v>
      </x:c>
      <x:c r="R55" s="55" t="str">
        <x:v>비지하</x:v>
      </x:c>
      <x:c r="S55" s="55" t="str">
        <x:v>중개거래</x:v>
      </x:c>
      <x:c r="T55" s="55" t="str">
        <x:v>서울 용산구</x:v>
      </x:c>
      <x:c r="U55" s="55" t="n">
        <x:v>8515836</x:v>
      </x:c>
      <x:c r="V55" s="55" t="str">
        <x:v>활성</x:v>
      </x:c>
    </x:row>
    <x:row r="56">
      <x:c r="A56" s="55" t="n">
        <x:v>52</x:v>
      </x:c>
      <x:c r="B56" s="56" t="n">
        <x:v>45659</x:v>
      </x:c>
      <x:c r="C56" s="61" t="str">
        <x:v>청파동1가 89-182</x:v>
      </x:c>
      <x:c r="D56" s="61" t="str">
        <x:v>(89-182)</x:v>
      </x:c>
      <x:c r="E56" s="55" t="str">
        <x:v>다세대주택</x:v>
      </x:c>
      <x:c r="F56" s="57" t="n">
        <x:v>30000</x:v>
      </x:c>
      <x:c r="G56" s="58" t="n">
        <x:f>IFERROR(F56/10000,"")</x:f>
        <x:v>3</x:v>
      </x:c>
      <x:c r="H56" s="55" t="str">
        <x:v>다세대</x:v>
      </x:c>
      <x:c r="I56" s="59" t="n">
        <x:v>24.7</x:v>
      </x:c>
      <x:c r="J56" s="59" t="n">
        <x:f>IFERROR(I56/3.3058,"")</x:f>
        <x:v>7.471716377276302</x:v>
      </x:c>
      <x:c r="K56" s="57" t="n">
        <x:f>IFERROR(F56/J56,"")</x:f>
        <x:v>4015.1417004048585</x:v>
      </x:c>
      <x:c r="L56" s="59" t="n">
        <x:v>36.8</x:v>
      </x:c>
      <x:c r="M56" s="57" t="n">
        <x:f>IFERROR(F56/(L56/3.3),"")</x:f>
        <x:v>2690.217391304348</x:v>
      </x:c>
      <x:c r="N56" s="55" t="str">
        <x:v>2</x:v>
      </x:c>
      <x:c r="O56" s="57" t="n">
        <x:v>32800</x:v>
      </x:c>
      <x:c r="P56" s="60" t="n">
        <x:f>IFERROR(F56/O56-1,"")</x:f>
        <x:v>-0.08536585365853655</x:v>
      </x:c>
      <x:c r="Q56" s="55" t="n">
        <x:v>1986</x:v>
      </x:c>
      <x:c r="R56" s="55" t="str">
        <x:v>비지하</x:v>
      </x:c>
      <x:c r="S56" s="55" t="str">
        <x:v>중개거래</x:v>
      </x:c>
      <x:c r="T56" s="55" t="str">
        <x:v>서울 관악구</x:v>
      </x:c>
      <x:c r="U56" s="55" t="n">
        <x:v>8515720</x:v>
      </x:c>
      <x:c r="V56" s="55" t="str">
        <x:v>활성</x:v>
      </x:c>
    </x:row>
    <x:row r="57">
      <x:c r="A57" s="55" t="n">
        <x:v>53</x:v>
      </x:c>
      <x:c r="B57" s="56" t="n">
        <x:v>45617</x:v>
      </x:c>
      <x:c r="C57" s="61" t="str">
        <x:v>청파동1가 148-2</x:v>
      </x:c>
      <x:c r="D57" s="61" t="str">
        <x:v>(148-2)</x:v>
      </x:c>
      <x:c r="E57" s="55" t="str">
        <x:v>다세대주택</x:v>
      </x:c>
      <x:c r="F57" s="57" t="n">
        <x:v>59340</x:v>
      </x:c>
      <x:c r="G57" s="58" t="n">
        <x:f>IFERROR(F57/10000,"")</x:f>
        <x:v>5.934</x:v>
      </x:c>
      <x:c r="H57" s="55" t="str">
        <x:v>다세대</x:v>
      </x:c>
      <x:c r="I57" s="59" t="n">
        <x:v>18.4323</x:v>
      </x:c>
      <x:c r="J57" s="59" t="n">
        <x:f>IFERROR(I57/3.3058,"")</x:f>
        <x:v>5.575745659144534</x:v>
      </x:c>
      <x:c r="K57" s="57" t="n">
        <x:f>IFERROR(F57/J57,"")</x:f>
        <x:v>10642.522745398024</x:v>
      </x:c>
      <x:c r="L57" s="59" t="n">
        <x:v>29.94</x:v>
      </x:c>
      <x:c r="M57" s="57" t="n">
        <x:f>IFERROR(F57/(L57/3.3),"")</x:f>
        <x:v>6540.480961923847</x:v>
      </x:c>
      <x:c r="N57" s="55" t="str">
        <x:v>6</x:v>
      </x:c>
      <x:c r="O57" s="57" t="n">
        <x:v>45100</x:v>
      </x:c>
      <x:c r="P57" s="60" t="n">
        <x:f>IFERROR(F57/O57-1,"")</x:f>
        <x:v>0.3157427937915742</x:v>
      </x:c>
      <x:c r="Q57" s="55" t="n">
        <x:v>2021</x:v>
      </x:c>
      <x:c r="R57" s="55" t="str">
        <x:v>비지하</x:v>
      </x:c>
      <x:c r="S57" s="55" t="str">
        <x:v>중개거래</x:v>
      </x:c>
      <x:c r="T57" s="55" t="str">
        <x:v>서울 용산구</x:v>
      </x:c>
      <x:c r="U57" s="55" t="n">
        <x:v>20296400</x:v>
      </x:c>
      <x:c r="V57" s="55" t="str">
        <x:v>활성</x:v>
      </x:c>
    </x:row>
  </x:sheetData>
  <x:mergeCells>
    <x:mergeCell ref="A1:V1"/>
    <x:mergeCell ref="A2:V2"/>
  </x:mergeCells>
  <x:pageMargins left="0.7" right="0.7" top="0.75" bottom="0.75" header="0.3" footer="0.3"/>
  <x:tableParts count="1">
    <x:tablePart xmlns:r="http://schemas.openxmlformats.org/officeDocument/2006/relationships" r:id="R0098476d3c6d41c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3" hidden="0" customWidth="1"/>
    <x:col min="3" max="3" width="22" hidden="0" customWidth="1"/>
    <x:col min="4" max="4" width="20" hidden="0" customWidth="1"/>
    <x:col min="5" max="5" width="14" hidden="0" customWidth="1"/>
    <x:col min="6" max="6" width="15" hidden="0" customWidth="1"/>
    <x:col min="7" max="7" width="14" hidden="0" customWidth="1"/>
    <x:col min="8" max="8" width="12" hidden="0" customWidth="1"/>
    <x:col min="9" max="9" width="14" hidden="0" customWidth="1"/>
    <x:col min="10" max="10" width="13" hidden="0" customWidth="1"/>
    <x:col min="11" max="11" width="16" hidden="0" customWidth="1"/>
    <x:col min="12" max="12" width="16" hidden="0" customWidth="1"/>
    <x:col min="13" max="13" width="16" hidden="0" customWidth="1"/>
    <x:col min="14" max="14" width="8" hidden="0" customWidth="1"/>
    <x:col min="15" max="15" width="15" hidden="0" customWidth="1"/>
    <x:col min="16" max="16" width="14" hidden="0" customWidth="1"/>
    <x:col min="17" max="17" width="11" hidden="0" customWidth="1"/>
    <x:col min="18" max="18" width="10" hidden="0" customWidth="1"/>
    <x:col min="19" max="19" width="10" hidden="0" customWidth="1"/>
    <x:col min="20" max="20" width="22" hidden="0" customWidth="1"/>
    <x:col min="21" max="21" width="12" hidden="0" customWidth="1"/>
    <x:col min="22" max="22" width="12" hidden="0" customWidth="1"/>
  </x:cols>
  <x:sheetData>
    <x:row r="1" ht="28" customHeight="1">
      <x:c r="A1" s="4" t="str">
        <x:v>최근6개월_서계 실거래가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</x:row>
    <x:row r="2" ht="32" customHeight="1">
      <x:c r="A2" s="52" t="str">
        <x:v>다세대주택 · 비지하 · 대지지분 15~50㎡ · 2026-03-01~2026-08-31</x:v>
      </x:c>
      <x:c r="B2" s="52"/>
      <x:c r="C2" s="52"/>
      <x:c r="D2" s="52"/>
      <x:c r="E2" s="52"/>
      <x:c r="F2" s="52"/>
      <x:c r="G2" s="52"/>
      <x:c r="H2" s="52"/>
      <x:c r="I2" s="52"/>
      <x:c r="J2" s="52"/>
      <x:c r="K2" s="52"/>
      <x:c r="L2" s="52"/>
      <x:c r="M2" s="52"/>
      <x:c r="N2" s="52"/>
      <x:c r="O2" s="52"/>
      <x:c r="P2" s="52"/>
      <x:c r="Q2" s="52"/>
      <x:c r="R2" s="52"/>
      <x:c r="S2" s="52"/>
      <x:c r="T2" s="52"/>
      <x:c r="U2" s="52"/>
      <x:c r="V2" s="52"/>
    </x:row>
    <x:row r="4">
      <x:c r="A4" s="13" t="str">
        <x:v>순번</x:v>
      </x:c>
      <x:c r="B4" s="13" t="str">
        <x:v>계약일</x:v>
      </x:c>
      <x:c r="C4" s="13" t="str">
        <x:v>지번</x:v>
      </x:c>
      <x:c r="D4" s="13" t="str">
        <x:v>건물명</x:v>
      </x:c>
      <x:c r="E4" s="13" t="str">
        <x:v>건물 유형</x:v>
      </x:c>
      <x:c r="F4" s="13" t="str">
        <x:v>거래금액 (만원)</x:v>
      </x:c>
      <x:c r="G4" s="13" t="str">
        <x:v>거래금액 (억원)</x:v>
      </x:c>
      <x:c r="H4" s="13" t="str">
        <x:v>주택 유형</x:v>
      </x:c>
      <x:c r="I4" s="13" t="str">
        <x:v>대지지분 (㎡)</x:v>
      </x:c>
      <x:c r="J4" s="13" t="str">
        <x:v>대지지분 (평)</x:v>
      </x:c>
      <x:c r="K4" s="13" t="str">
        <x:v>대지평단가 (만원)</x:v>
      </x:c>
      <x:c r="L4" s="13" t="str">
        <x:v>전용/연면적 (㎡)</x:v>
      </x:c>
      <x:c r="M4" s="13" t="str">
        <x:v>전용평단가 (만원)</x:v>
      </x:c>
      <x:c r="N4" s="13" t="str">
        <x:v>층</x:v>
      </x:c>
      <x:c r="O4" s="13" t="str">
        <x:v>공시가격 (만원)</x:v>
      </x:c>
      <x:c r="P4" s="13" t="str">
        <x:v>공시가 초과율</x:v>
      </x:c>
      <x:c r="Q4" s="13" t="str">
        <x:v>신축연도</x:v>
      </x:c>
      <x:c r="R4" s="13" t="str">
        <x:v>지하 여부</x:v>
      </x:c>
      <x:c r="S4" s="13" t="str">
        <x:v>직거래</x:v>
      </x:c>
      <x:c r="T4" s="13" t="str">
        <x:v>중개 소재지</x:v>
      </x:c>
      <x:c r="U4" s="13" t="str">
        <x:v>거래 ID</x:v>
      </x:c>
      <x:c r="V4" s="13" t="str">
        <x:v>상태</x:v>
      </x:c>
    </x:row>
    <x:row r="5">
      <x:c r="A5" s="55" t="n">
        <x:v>1</x:v>
      </x:c>
      <x:c r="B5" s="56" t="n">
        <x:v>46207</x:v>
      </x:c>
      <x:c r="C5" s="61" t="str">
        <x:v>서계동 258-1</x:v>
      </x:c>
      <x:c r="D5" s="61" t="str">
        <x:v>(258-1)</x:v>
      </x:c>
      <x:c r="E5" s="55" t="str">
        <x:v>다세대주택</x:v>
      </x:c>
      <x:c r="F5" s="57" t="n">
        <x:v>97000</x:v>
      </x:c>
      <x:c r="G5" s="58" t="n">
        <x:f>IFERROR(F5/10000,"")</x:f>
        <x:v>9.7</x:v>
      </x:c>
      <x:c r="H5" s="55" t="str">
        <x:v>다세대</x:v>
      </x:c>
      <x:c r="I5" s="59" t="n">
        <x:v>17.9</x:v>
      </x:c>
      <x:c r="J5" s="59" t="n">
        <x:f>IFERROR(I5/3.3058,"")</x:f>
        <x:v>5.414725633734648</x:v>
      </x:c>
      <x:c r="K5" s="57" t="n">
        <x:f>IFERROR(F5/J5,"")</x:f>
        <x:v>17914.111731843575</x:v>
      </x:c>
      <x:c r="L5" s="59" t="n">
        <x:v>54.47</x:v>
      </x:c>
      <x:c r="M5" s="57" t="n">
        <x:f>IFERROR(F5/(L5/3.3),"")</x:f>
        <x:v>5876.629337249862</x:v>
      </x:c>
      <x:c r="N5" s="55" t="str">
        <x:v>4</x:v>
      </x:c>
      <x:c r="O5" s="57" t="n">
        <x:v>31500</x:v>
      </x:c>
      <x:c r="P5" s="60" t="n">
        <x:f>IFERROR(F5/O5-1,"")</x:f>
        <x:v>2.0793650793650795</x:v>
      </x:c>
      <x:c r="Q5" s="55" t="n">
        <x:v>1998</x:v>
      </x:c>
      <x:c r="R5" s="55" t="str">
        <x:v>비지하</x:v>
      </x:c>
      <x:c r="S5" s="55" t="str">
        <x:v>중개거래</x:v>
      </x:c>
      <x:c r="T5" s="55" t="str">
        <x:v>서울 용산구</x:v>
      </x:c>
      <x:c r="U5" s="55" t="n">
        <x:v>30156258</x:v>
      </x:c>
      <x:c r="V5" s="55" t="str">
        <x:v>활성</x:v>
      </x:c>
    </x:row>
    <x:row r="6">
      <x:c r="A6" s="55" t="n">
        <x:v>2</x:v>
      </x:c>
      <x:c r="B6" s="56" t="n">
        <x:v>46203</x:v>
      </x:c>
      <x:c r="C6" s="61" t="str">
        <x:v>청파동1가 1-58</x:v>
      </x:c>
      <x:c r="D6" s="61" t="str">
        <x:v>청파동다세대주택</x:v>
      </x:c>
      <x:c r="E6" s="55" t="str">
        <x:v>다세대주택</x:v>
      </x:c>
      <x:c r="F6" s="57" t="n">
        <x:v>107000</x:v>
      </x:c>
      <x:c r="G6" s="58" t="n">
        <x:f>IFERROR(F6/10000,"")</x:f>
        <x:v>10.7</x:v>
      </x:c>
      <x:c r="H6" s="55" t="str">
        <x:v>다세대</x:v>
      </x:c>
      <x:c r="I6" s="59" t="n">
        <x:v>27</x:v>
      </x:c>
      <x:c r="J6" s="59" t="n">
        <x:f>IFERROR(I6/3.3058,"")</x:f>
        <x:v>8.167463246415391</x:v>
      </x:c>
      <x:c r="K6" s="57" t="n">
        <x:f>IFERROR(F6/J6,"")</x:f>
        <x:v>13100.762962962963</x:v>
      </x:c>
      <x:c r="L6" s="59" t="n">
        <x:v>31.35</x:v>
      </x:c>
      <x:c r="M6" s="57" t="n">
        <x:f>IFERROR(F6/(L6/3.3),"")</x:f>
        <x:v>11263.15789473684</x:v>
      </x:c>
      <x:c r="N6" s="55" t="str">
        <x:v>3</x:v>
      </x:c>
      <x:c r="O6" s="57" t="n">
        <x:v>37200</x:v>
      </x:c>
      <x:c r="P6" s="60" t="n">
        <x:f>IFERROR(F6/O6-1,"")</x:f>
        <x:v>1.8763440860215055</x:v>
      </x:c>
      <x:c r="Q6" s="55" t="n">
        <x:v>2007</x:v>
      </x:c>
      <x:c r="R6" s="55" t="str">
        <x:v>비지하</x:v>
      </x:c>
      <x:c r="S6" s="55" t="str">
        <x:v>중개거래</x:v>
      </x:c>
      <x:c r="T6" s="55" t="str">
        <x:v>서울 용산구</x:v>
      </x:c>
      <x:c r="U6" s="55" t="n">
        <x:v>30038549</x:v>
      </x:c>
      <x:c r="V6" s="55" t="str">
        <x:v>활성</x:v>
      </x:c>
    </x:row>
    <x:row r="7">
      <x:c r="A7" s="55" t="n">
        <x:v>3</x:v>
      </x:c>
      <x:c r="B7" s="56" t="n">
        <x:v>46149</x:v>
      </x:c>
      <x:c r="C7" s="61" t="str">
        <x:v>서계동 33-233</x:v>
      </x:c>
      <x:c r="D7" s="61" t="str">
        <x:v>오브레더서계</x:v>
      </x:c>
      <x:c r="E7" s="55" t="str">
        <x:v>다세대주택</x:v>
      </x:c>
      <x:c r="F7" s="57" t="n">
        <x:v>75000</x:v>
      </x:c>
      <x:c r="G7" s="58" t="n">
        <x:f>IFERROR(F7/10000,"")</x:f>
        <x:v>7.5</x:v>
      </x:c>
      <x:c r="H7" s="55" t="str">
        <x:v>다세대</x:v>
      </x:c>
      <x:c r="I7" s="59" t="n">
        <x:v>21.75</x:v>
      </x:c>
      <x:c r="J7" s="59" t="n">
        <x:f>IFERROR(I7/3.3058,"")</x:f>
        <x:v>6.579345392945732</x:v>
      </x:c>
      <x:c r="K7" s="57" t="n">
        <x:f>IFERROR(F7/J7,"")</x:f>
        <x:v>11399.310344827585</x:v>
      </x:c>
      <x:c r="L7" s="59" t="n">
        <x:v>29.99</x:v>
      </x:c>
      <x:c r="M7" s="57" t="n">
        <x:f>IFERROR(F7/(L7/3.3),"")</x:f>
        <x:v>8252.750916972323</x:v>
      </x:c>
      <x:c r="N7" s="55" t="str">
        <x:v>2</x:v>
      </x:c>
      <x:c r="O7" s="57" t="n">
        <x:v>47200</x:v>
      </x:c>
      <x:c r="P7" s="60" t="n">
        <x:f>IFERROR(F7/O7-1,"")</x:f>
        <x:v>0.5889830508474576</x:v>
      </x:c>
      <x:c r="Q7" s="55" t="n">
        <x:v>2022</x:v>
      </x:c>
      <x:c r="R7" s="55" t="str">
        <x:v>비지하</x:v>
      </x:c>
      <x:c r="S7" s="55" t="str">
        <x:v>중개거래</x:v>
      </x:c>
      <x:c r="T7" s="55" t="str">
        <x:v>서울 용산구</x:v>
      </x:c>
      <x:c r="U7" s="55" t="n">
        <x:v>27664144</x:v>
      </x:c>
      <x:c r="V7" s="55" t="str">
        <x:v>활성</x:v>
      </x:c>
    </x:row>
    <x:row r="8">
      <x:c r="A8" s="55" t="n">
        <x:v>4</x:v>
      </x:c>
      <x:c r="B8" s="56" t="n">
        <x:v>46143</x:v>
      </x:c>
      <x:c r="C8" s="61" t="str">
        <x:v>서계동 54-12</x:v>
      </x:c>
      <x:c r="D8" s="61" t="str">
        <x:v>미도A</x:v>
      </x:c>
      <x:c r="E8" s="55" t="str">
        <x:v>다세대주택</x:v>
      </x:c>
      <x:c r="F8" s="57" t="n">
        <x:v>100000</x:v>
      </x:c>
      <x:c r="G8" s="58" t="n">
        <x:f>IFERROR(F8/10000,"")</x:f>
        <x:v>10</x:v>
      </x:c>
      <x:c r="H8" s="55" t="str">
        <x:v>다세대</x:v>
      </x:c>
      <x:c r="I8" s="59" t="n">
        <x:v>33.94</x:v>
      </x:c>
      <x:c r="J8" s="59" t="n">
        <x:f>IFERROR(I8/3.3058,"")</x:f>
        <x:v>10.266803799382902</x:v>
      </x:c>
      <x:c r="K8" s="57" t="n">
        <x:f>IFERROR(F8/J8,"")</x:f>
        <x:v>9740.129640542133</x:v>
      </x:c>
      <x:c r="L8" s="59" t="n">
        <x:v>50.82</x:v>
      </x:c>
      <x:c r="M8" s="57" t="n">
        <x:f>IFERROR(F8/(L8/3.3),"")</x:f>
        <x:v>6493.506493506493</x:v>
      </x:c>
      <x:c r="N8" s="55" t="str">
        <x:v>2</x:v>
      </x:c>
      <x:c r="O8" s="57" t="n">
        <x:v>52200</x:v>
      </x:c>
      <x:c r="P8" s="60" t="n">
        <x:f>IFERROR(F8/O8-1,"")</x:f>
        <x:v>0.9157088122605364</x:v>
      </x:c>
      <x:c r="Q8" s="55" t="n">
        <x:v>1987</x:v>
      </x:c>
      <x:c r="R8" s="55" t="str">
        <x:v>비지하</x:v>
      </x:c>
      <x:c r="S8" s="55" t="str">
        <x:v>중개거래</x:v>
      </x:c>
      <x:c r="T8" s="55" t="str">
        <x:v>서울 용산구</x:v>
      </x:c>
      <x:c r="U8" s="55" t="n">
        <x:v>27664188</x:v>
      </x:c>
      <x:c r="V8" s="55" t="str">
        <x:v>활성</x:v>
      </x:c>
    </x:row>
    <x:row r="9">
      <x:c r="A9" s="55" t="n">
        <x:v>5</x:v>
      </x:c>
      <x:c r="B9" s="56" t="n">
        <x:v>46143</x:v>
      </x:c>
      <x:c r="C9" s="61" t="str">
        <x:v>청파동1가 1-15</x:v>
      </x:c>
      <x:c r="D9" s="61" t="str">
        <x:v>1-15</x:v>
      </x:c>
      <x:c r="E9" s="55" t="str">
        <x:v>다세대주택</x:v>
      </x:c>
      <x:c r="F9" s="57" t="n">
        <x:v>80000</x:v>
      </x:c>
      <x:c r="G9" s="58" t="n">
        <x:f>IFERROR(F9/10000,"")</x:f>
        <x:v>8</x:v>
      </x:c>
      <x:c r="H9" s="55" t="str">
        <x:v>다세대</x:v>
      </x:c>
      <x:c r="I9" s="59" t="n">
        <x:v>21.71</x:v>
      </x:c>
      <x:c r="J9" s="59" t="n">
        <x:f>IFERROR(I9/3.3058,"")</x:f>
        <x:v>6.567245447395487</x:v>
      </x:c>
      <x:c r="K9" s="57" t="n">
        <x:f>IFERROR(F9/J9,"")</x:f>
        <x:v>12181.667434362045</x:v>
      </x:c>
      <x:c r="L9" s="59" t="n">
        <x:v>26.84</x:v>
      </x:c>
      <x:c r="M9" s="57" t="n">
        <x:f>IFERROR(F9/(L9/3.3),"")</x:f>
        <x:v>9836.065573770493</x:v>
      </x:c>
      <x:c r="N9" s="55" t="str">
        <x:v>1</x:v>
      </x:c>
      <x:c r="O9" s="57" t="n">
        <x:v>25400</x:v>
      </x:c>
      <x:c r="P9" s="60" t="n">
        <x:f>IFERROR(F9/O9-1,"")</x:f>
        <x:v>2.1496062992125986</x:v>
      </x:c>
      <x:c r="Q9" s="55" t="n">
        <x:v>2015</x:v>
      </x:c>
      <x:c r="R9" s="55" t="str">
        <x:v>비지하</x:v>
      </x:c>
      <x:c r="S9" s="55" t="str">
        <x:v>중개거래</x:v>
      </x:c>
      <x:c r="T9" s="55" t="str">
        <x:v>서울 용산구</x:v>
      </x:c>
      <x:c r="U9" s="55" t="n">
        <x:v>27664169</x:v>
      </x:c>
      <x:c r="V9" s="55" t="str">
        <x:v>활성</x:v>
      </x:c>
    </x:row>
    <x:row r="10">
      <x:c r="A10" s="55" t="n">
        <x:v>6</x:v>
      </x:c>
      <x:c r="B10" s="56" t="n">
        <x:v>46139</x:v>
      </x:c>
      <x:c r="C10" s="61" t="str">
        <x:v>서계동 246-2</x:v>
      </x:c>
      <x:c r="D10" s="61" t="str">
        <x:v>수정빌라(246-2)</x:v>
      </x:c>
      <x:c r="E10" s="55" t="str">
        <x:v>다세대주택</x:v>
      </x:c>
      <x:c r="F10" s="57" t="n">
        <x:v>60000</x:v>
      </x:c>
      <x:c r="G10" s="58" t="n">
        <x:f>IFERROR(F10/10000,"")</x:f>
        <x:v>6</x:v>
      </x:c>
      <x:c r="H10" s="55" t="str">
        <x:v>다세대</x:v>
      </x:c>
      <x:c r="I10" s="59" t="n">
        <x:v>15.36</x:v>
      </x:c>
      <x:c r="J10" s="59" t="n">
        <x:f>IFERROR(I10/3.3058,"")</x:f>
        <x:v>4.646379091294089</x:v>
      </x:c>
      <x:c r="K10" s="57" t="n">
        <x:f>IFERROR(F10/J10,"")</x:f>
        <x:v>12913.28125</x:v>
      </x:c>
      <x:c r="L10" s="59" t="n">
        <x:v>40.17</x:v>
      </x:c>
      <x:c r="M10" s="57" t="n">
        <x:f>IFERROR(F10/(L10/3.3),"")</x:f>
        <x:v>4929.051530993278</x:v>
      </x:c>
      <x:c r="N10" s="55" t="str">
        <x:v>4</x:v>
      </x:c>
      <x:c r="O10" s="57" t="n">
        <x:v>24100</x:v>
      </x:c>
      <x:c r="P10" s="60" t="n">
        <x:f>IFERROR(F10/O10-1,"")</x:f>
        <x:v>1.4896265560165975</x:v>
      </x:c>
      <x:c r="Q10" s="55" t="n">
        <x:v>1997</x:v>
      </x:c>
      <x:c r="R10" s="55" t="str">
        <x:v>비지하</x:v>
      </x:c>
      <x:c r="S10" s="55" t="str">
        <x:v>직거래</x:v>
      </x:c>
      <x:c r="T10" s="55" t="str"/>
      <x:c r="U10" s="55" t="n">
        <x:v>24959323</x:v>
      </x:c>
      <x:c r="V10" s="55" t="str">
        <x:v>활성</x:v>
      </x:c>
    </x:row>
    <x:row r="11">
      <x:c r="A11" s="55" t="n">
        <x:v>7</x:v>
      </x:c>
      <x:c r="B11" s="56" t="n">
        <x:v>46133</x:v>
      </x:c>
      <x:c r="C11" s="61" t="str">
        <x:v>서계동 242-2</x:v>
      </x:c>
      <x:c r="D11" s="61" t="str">
        <x:v>242-2</x:v>
      </x:c>
      <x:c r="E11" s="55" t="str">
        <x:v>다세대주택</x:v>
      </x:c>
      <x:c r="F11" s="57" t="n">
        <x:v>45300</x:v>
      </x:c>
      <x:c r="G11" s="58" t="n">
        <x:f>IFERROR(F11/10000,"")</x:f>
        <x:v>4.53</x:v>
      </x:c>
      <x:c r="H11" s="55" t="str">
        <x:v>다세대</x:v>
      </x:c>
      <x:c r="I11" s="59" t="n">
        <x:v>17.5495</x:v>
      </x:c>
      <x:c r="J11" s="59" t="n">
        <x:f>IFERROR(I11/3.3058,"")</x:f>
        <x:v>5.308699860850625</x:v>
      </x:c>
      <x:c r="K11" s="57" t="n">
        <x:f>IFERROR(F11/J11,"")</x:f>
        <x:v>8533.162768170036</x:v>
      </x:c>
      <x:c r="L11" s="59" t="n">
        <x:v>25.36</x:v>
      </x:c>
      <x:c r="M11" s="57" t="n">
        <x:f>IFERROR(F11/(L11/3.3),"")</x:f>
        <x:v>5894.716088328075</x:v>
      </x:c>
      <x:c r="N11" s="55" t="str">
        <x:v>5</x:v>
      </x:c>
      <x:c r="O11" s="57" t="n">
        <x:v>38700</x:v>
      </x:c>
      <x:c r="P11" s="60" t="n">
        <x:f>IFERROR(F11/O11-1,"")</x:f>
        <x:v>0.1705426356589148</x:v>
      </x:c>
      <x:c r="Q11" s="55" t="n">
        <x:v>2021</x:v>
      </x:c>
      <x:c r="R11" s="55" t="str">
        <x:v>비지하</x:v>
      </x:c>
      <x:c r="S11" s="55" t="str">
        <x:v>직거래</x:v>
      </x:c>
      <x:c r="T11" s="55" t="str"/>
      <x:c r="U11" s="55" t="n">
        <x:v>24959341</x:v>
      </x:c>
      <x:c r="V11" s="55" t="str">
        <x:v>활성</x:v>
      </x:c>
    </x:row>
    <x:row r="12">
      <x:c r="A12" s="55" t="n">
        <x:v>8</x:v>
      </x:c>
      <x:c r="B12" s="56" t="n">
        <x:v>46121</x:v>
      </x:c>
      <x:c r="C12" s="61" t="str">
        <x:v>서계동 246-42</x:v>
      </x:c>
      <x:c r="D12" s="61" t="str">
        <x:v>청운빌라</x:v>
      </x:c>
      <x:c r="E12" s="55" t="str">
        <x:v>다세대주택</x:v>
      </x:c>
      <x:c r="F12" s="57" t="n">
        <x:v>100000</x:v>
      </x:c>
      <x:c r="G12" s="58" t="n">
        <x:f>IFERROR(F12/10000,"")</x:f>
        <x:v>10</x:v>
      </x:c>
      <x:c r="H12" s="55" t="str">
        <x:v>다세대</x:v>
      </x:c>
      <x:c r="I12" s="59" t="n">
        <x:v>18.45</x:v>
      </x:c>
      <x:c r="J12" s="59" t="n">
        <x:f>IFERROR(I12/3.3058,"")</x:f>
        <x:v>5.581099885050517</x:v>
      </x:c>
      <x:c r="K12" s="57" t="n">
        <x:f>IFERROR(F12/J12,"")</x:f>
        <x:v>17917.61517615176</x:v>
      </x:c>
      <x:c r="L12" s="59" t="n">
        <x:v>57.02</x:v>
      </x:c>
      <x:c r="M12" s="57" t="n">
        <x:f>IFERROR(F12/(L12/3.3),"")</x:f>
        <x:v>5787.4430024552785</x:v>
      </x:c>
      <x:c r="N12" s="55" t="str">
        <x:v>3</x:v>
      </x:c>
      <x:c r="O12" s="57" t="n">
        <x:v>34400</x:v>
      </x:c>
      <x:c r="P12" s="60" t="n">
        <x:f>IFERROR(F12/O12-1,"")</x:f>
        <x:v>1.9069767441860463</x:v>
      </x:c>
      <x:c r="Q12" s="55" t="n">
        <x:v>2001</x:v>
      </x:c>
      <x:c r="R12" s="55" t="str">
        <x:v>비지하</x:v>
      </x:c>
      <x:c r="S12" s="55" t="str">
        <x:v>중개거래</x:v>
      </x:c>
      <x:c r="T12" s="55" t="str">
        <x:v>서울 용산구</x:v>
      </x:c>
      <x:c r="U12" s="55" t="n">
        <x:v>24959363</x:v>
      </x:c>
      <x:c r="V12" s="55" t="str">
        <x:v>활성</x:v>
      </x:c>
    </x:row>
    <x:row r="13">
      <x:c r="A13" s="55" t="n">
        <x:v>9</x:v>
      </x:c>
      <x:c r="B13" s="56" t="n">
        <x:v>46115</x:v>
      </x:c>
      <x:c r="C13" s="61" t="str">
        <x:v>서계동 246-24</x:v>
      </x:c>
      <x:c r="D13" s="61" t="str">
        <x:v>(246-24)</x:v>
      </x:c>
      <x:c r="E13" s="55" t="str">
        <x:v>다세대주택</x:v>
      </x:c>
      <x:c r="F13" s="57" t="n">
        <x:v>93000</x:v>
      </x:c>
      <x:c r="G13" s="58" t="n">
        <x:f>IFERROR(F13/10000,"")</x:f>
        <x:v>9.3</x:v>
      </x:c>
      <x:c r="H13" s="55" t="str">
        <x:v>다세대</x:v>
      </x:c>
      <x:c r="I13" s="59" t="n">
        <x:v>18.8</x:v>
      </x:c>
      <x:c r="J13" s="59" t="n">
        <x:f>IFERROR(I13/3.3058,"")</x:f>
        <x:v>5.6869744086151615</x:v>
      </x:c>
      <x:c r="K13" s="57" t="n">
        <x:f>IFERROR(F13/J13,"")</x:f>
        <x:v>16353.159574468085</x:v>
      </x:c>
      <x:c r="L13" s="59" t="n">
        <x:v>47.14</x:v>
      </x:c>
      <x:c r="M13" s="57" t="n">
        <x:f>IFERROR(F13/(L13/3.3),"")</x:f>
        <x:v>6510.394569367841</x:v>
      </x:c>
      <x:c r="N13" s="55" t="str">
        <x:v>1</x:v>
      </x:c>
      <x:c r="O13" s="57" t="n">
        <x:v>30200</x:v>
      </x:c>
      <x:c r="P13" s="60" t="n">
        <x:f>IFERROR(F13/O13-1,"")</x:f>
        <x:v>2.0794701986754967</x:v>
      </x:c>
      <x:c r="Q13" s="55" t="n">
        <x:v>1997</x:v>
      </x:c>
      <x:c r="R13" s="55" t="str">
        <x:v>비지하</x:v>
      </x:c>
      <x:c r="S13" s="55" t="str">
        <x:v>중개거래</x:v>
      </x:c>
      <x:c r="T13" s="55" t="str">
        <x:v>서울 용산구, 서울 중구</x:v>
      </x:c>
      <x:c r="U13" s="55" t="n">
        <x:v>24959373</x:v>
      </x:c>
      <x:c r="V13" s="55" t="str">
        <x:v>활성</x:v>
      </x:c>
    </x:row>
    <x:row r="14">
      <x:c r="A14" s="55" t="n">
        <x:v>10</x:v>
      </x:c>
      <x:c r="B14" s="56" t="n">
        <x:v>46108</x:v>
      </x:c>
      <x:c r="C14" s="61" t="str">
        <x:v>청파동1가 1-95</x:v>
      </x:c>
      <x:c r="D14" s="61" t="str">
        <x:v>대성빌라2차</x:v>
      </x:c>
      <x:c r="E14" s="55" t="str">
        <x:v>다세대주택</x:v>
      </x:c>
      <x:c r="F14" s="57" t="n">
        <x:v>88000</x:v>
      </x:c>
      <x:c r="G14" s="58" t="n">
        <x:f>IFERROR(F14/10000,"")</x:f>
        <x:v>8.8</x:v>
      </x:c>
      <x:c r="H14" s="55" t="str">
        <x:v>연립</x:v>
      </x:c>
      <x:c r="I14" s="59" t="n">
        <x:v>31.67</x:v>
      </x:c>
      <x:c r="J14" s="59" t="n">
        <x:f>IFERROR(I14/3.3058,"")</x:f>
        <x:v>9.580131889406498</x:v>
      </x:c>
      <x:c r="K14" s="57" t="n">
        <x:f>IFERROR(F14/J14,"")</x:f>
        <x:v>9185.677297126618</x:v>
      </x:c>
      <x:c r="L14" s="59" t="n">
        <x:v>75.72</x:v>
      </x:c>
      <x:c r="M14" s="57" t="n">
        <x:f>IFERROR(F14/(L14/3.3),"")</x:f>
        <x:v>3835.1822503961967</x:v>
      </x:c>
      <x:c r="N14" s="55" t="str">
        <x:v>3</x:v>
      </x:c>
      <x:c r="O14" s="57" t="n">
        <x:v>36300</x:v>
      </x:c>
      <x:c r="P14" s="60" t="n">
        <x:f>IFERROR(F14/O14-1,"")</x:f>
        <x:v>1.4242424242424243</x:v>
      </x:c>
      <x:c r="Q14" s="55" t="n">
        <x:v>1995</x:v>
      </x:c>
      <x:c r="R14" s="55" t="str">
        <x:v>비지하</x:v>
      </x:c>
      <x:c r="S14" s="55" t="str">
        <x:v>중개거래</x:v>
      </x:c>
      <x:c r="T14" s="55" t="str">
        <x:v>서울 용산구</x:v>
      </x:c>
      <x:c r="U14" s="55" t="n">
        <x:v>25444612</x:v>
      </x:c>
      <x:c r="V14" s="55" t="str">
        <x:v>활성</x:v>
      </x:c>
    </x:row>
    <x:row r="15">
      <x:c r="A15" s="55" t="n">
        <x:v>11</x:v>
      </x:c>
      <x:c r="B15" s="56" t="n">
        <x:v>46101</x:v>
      </x:c>
      <x:c r="C15" s="61" t="str">
        <x:v>서계동 246-7</x:v>
      </x:c>
      <x:c r="D15" s="61" t="str">
        <x:v>(246-7)</x:v>
      </x:c>
      <x:c r="E15" s="55" t="str">
        <x:v>다세대주택</x:v>
      </x:c>
      <x:c r="F15" s="57" t="n">
        <x:v>110000</x:v>
      </x:c>
      <x:c r="G15" s="58" t="n">
        <x:f>IFERROR(F15/10000,"")</x:f>
        <x:v>11</x:v>
      </x:c>
      <x:c r="H15" s="55" t="str">
        <x:v>다세대</x:v>
      </x:c>
      <x:c r="I15" s="59" t="n">
        <x:v>22.36</x:v>
      </x:c>
      <x:c r="J15" s="59" t="n">
        <x:f>IFERROR(I15/3.3058,"")</x:f>
        <x:v>6.763869562586968</x:v>
      </x:c>
      <x:c r="K15" s="57" t="n">
        <x:f>IFERROR(F15/J15,"")</x:f>
        <x:v>16262.880143112703</x:v>
      </x:c>
      <x:c r="L15" s="59" t="n">
        <x:v>57.24</x:v>
      </x:c>
      <x:c r="M15" s="57" t="n">
        <x:f>IFERROR(F15/(L15/3.3),"")</x:f>
        <x:v>6341.719077568134</x:v>
      </x:c>
      <x:c r="N15" s="55" t="str">
        <x:v>2</x:v>
      </x:c>
      <x:c r="O15" s="57" t="n">
        <x:v>31900</x:v>
      </x:c>
      <x:c r="P15" s="60" t="n">
        <x:f>IFERROR(F15/O15-1,"")</x:f>
        <x:v>2.4482758620689653</x:v>
      </x:c>
      <x:c r="Q15" s="55" t="n">
        <x:v>1997</x:v>
      </x:c>
      <x:c r="R15" s="55" t="str">
        <x:v>비지하</x:v>
      </x:c>
      <x:c r="S15" s="55" t="str">
        <x:v>중개거래</x:v>
      </x:c>
      <x:c r="T15" s="55" t="str">
        <x:v>서울 용산구</x:v>
      </x:c>
      <x:c r="U15" s="55" t="n">
        <x:v>25444627</x:v>
      </x:c>
      <x:c r="V15" s="55" t="str">
        <x:v>활성</x:v>
      </x:c>
    </x:row>
    <x:row r="16">
      <x:c r="A16" s="55" t="n">
        <x:v>12</x:v>
      </x:c>
      <x:c r="B16" s="56" t="n">
        <x:v>46095</x:v>
      </x:c>
      <x:c r="C16" s="61" t="str">
        <x:v>서계동 251-1</x:v>
      </x:c>
      <x:c r="D16" s="61" t="str">
        <x:v>(251-1)</x:v>
      </x:c>
      <x:c r="E16" s="55" t="str">
        <x:v>다세대주택</x:v>
      </x:c>
      <x:c r="F16" s="57" t="n">
        <x:v>96700</x:v>
      </x:c>
      <x:c r="G16" s="58" t="n">
        <x:f>IFERROR(F16/10000,"")</x:f>
        <x:v>9.67</x:v>
      </x:c>
      <x:c r="H16" s="55" t="str">
        <x:v>다세대</x:v>
      </x:c>
      <x:c r="I16" s="59" t="n">
        <x:v>22.62</x:v>
      </x:c>
      <x:c r="J16" s="59" t="n">
        <x:f>IFERROR(I16/3.3058,"")</x:f>
        <x:v>6.842519208663561</x:v>
      </x:c>
      <x:c r="K16" s="57" t="n">
        <x:f>IFERROR(F16/J16,"")</x:f>
        <x:v>14132.221927497789</x:v>
      </x:c>
      <x:c r="L16" s="59" t="n">
        <x:v>55.14</x:v>
      </x:c>
      <x:c r="M16" s="57" t="n">
        <x:f>IFERROR(F16/(L16/3.3),"")</x:f>
        <x:v>5787.268770402611</x:v>
      </x:c>
      <x:c r="N16" s="55" t="str">
        <x:v>2</x:v>
      </x:c>
      <x:c r="O16" s="57" t="n">
        <x:v>36400</x:v>
      </x:c>
      <x:c r="P16" s="60" t="n">
        <x:f>IFERROR(F16/O16-1,"")</x:f>
        <x:v>1.6565934065934065</x:v>
      </x:c>
      <x:c r="Q16" s="55" t="n">
        <x:v>1996</x:v>
      </x:c>
      <x:c r="R16" s="55" t="str">
        <x:v>비지하</x:v>
      </x:c>
      <x:c r="S16" s="55" t="str">
        <x:v>중개거래</x:v>
      </x:c>
      <x:c r="T16" s="55" t="str">
        <x:v>서울 용산구</x:v>
      </x:c>
      <x:c r="U16" s="55" t="n">
        <x:v>25444589</x:v>
      </x:c>
      <x:c r="V16" s="55" t="str">
        <x:v>활성</x:v>
      </x:c>
    </x:row>
  </x:sheetData>
  <x:mergeCells>
    <x:mergeCell ref="A1:V1"/>
    <x:mergeCell ref="A2:V2"/>
  </x:mergeCells>
  <x:pageMargins left="0.7" right="0.7" top="0.75" bottom="0.75" header="0.3" footer="0.3"/>
  <x:tableParts count="1">
    <x:tablePart xmlns:r="http://schemas.openxmlformats.org/officeDocument/2006/relationships" r:id="R030a0de4af1c45a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3" hidden="0" customWidth="1"/>
    <x:col min="3" max="3" width="22" hidden="0" customWidth="1"/>
    <x:col min="4" max="4" width="20" hidden="0" customWidth="1"/>
    <x:col min="5" max="5" width="14" hidden="0" customWidth="1"/>
    <x:col min="6" max="6" width="15" hidden="0" customWidth="1"/>
    <x:col min="7" max="7" width="14" hidden="0" customWidth="1"/>
    <x:col min="8" max="8" width="12" hidden="0" customWidth="1"/>
    <x:col min="9" max="9" width="14" hidden="0" customWidth="1"/>
    <x:col min="10" max="10" width="13" hidden="0" customWidth="1"/>
    <x:col min="11" max="11" width="16" hidden="0" customWidth="1"/>
    <x:col min="12" max="12" width="16" hidden="0" customWidth="1"/>
    <x:col min="13" max="13" width="16" hidden="0" customWidth="1"/>
    <x:col min="14" max="14" width="8" hidden="0" customWidth="1"/>
    <x:col min="15" max="15" width="15" hidden="0" customWidth="1"/>
    <x:col min="16" max="16" width="14" hidden="0" customWidth="1"/>
    <x:col min="17" max="17" width="11" hidden="0" customWidth="1"/>
    <x:col min="18" max="18" width="10" hidden="0" customWidth="1"/>
    <x:col min="19" max="19" width="10" hidden="0" customWidth="1"/>
    <x:col min="20" max="20" width="22" hidden="0" customWidth="1"/>
    <x:col min="21" max="21" width="12" hidden="0" customWidth="1"/>
    <x:col min="22" max="22" width="12" hidden="0" customWidth="1"/>
  </x:cols>
  <x:sheetData>
    <x:row r="1" ht="28" customHeight="1">
      <x:c r="A1" s="4" t="str">
        <x:v>최근6개월_청파2 실거래가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</x:row>
    <x:row r="2" ht="32" customHeight="1">
      <x:c r="A2" s="52" t="str">
        <x:v>다세대주택 · 비지하 · 대지지분 15~50㎡ · 2026-03-01~2026-08-31</x:v>
      </x:c>
      <x:c r="B2" s="52"/>
      <x:c r="C2" s="52"/>
      <x:c r="D2" s="52"/>
      <x:c r="E2" s="52"/>
      <x:c r="F2" s="52"/>
      <x:c r="G2" s="52"/>
      <x:c r="H2" s="52"/>
      <x:c r="I2" s="52"/>
      <x:c r="J2" s="52"/>
      <x:c r="K2" s="52"/>
      <x:c r="L2" s="52"/>
      <x:c r="M2" s="52"/>
      <x:c r="N2" s="52"/>
      <x:c r="O2" s="52"/>
      <x:c r="P2" s="52"/>
      <x:c r="Q2" s="52"/>
      <x:c r="R2" s="52"/>
      <x:c r="S2" s="52"/>
      <x:c r="T2" s="52"/>
      <x:c r="U2" s="52"/>
      <x:c r="V2" s="52"/>
    </x:row>
    <x:row r="4">
      <x:c r="A4" s="13" t="str">
        <x:v>순번</x:v>
      </x:c>
      <x:c r="B4" s="13" t="str">
        <x:v>계약일</x:v>
      </x:c>
      <x:c r="C4" s="13" t="str">
        <x:v>지번</x:v>
      </x:c>
      <x:c r="D4" s="13" t="str">
        <x:v>건물명</x:v>
      </x:c>
      <x:c r="E4" s="13" t="str">
        <x:v>건물 유형</x:v>
      </x:c>
      <x:c r="F4" s="13" t="str">
        <x:v>거래금액 (만원)</x:v>
      </x:c>
      <x:c r="G4" s="13" t="str">
        <x:v>거래금액 (억원)</x:v>
      </x:c>
      <x:c r="H4" s="13" t="str">
        <x:v>주택 유형</x:v>
      </x:c>
      <x:c r="I4" s="13" t="str">
        <x:v>대지지분 (㎡)</x:v>
      </x:c>
      <x:c r="J4" s="13" t="str">
        <x:v>대지지분 (평)</x:v>
      </x:c>
      <x:c r="K4" s="13" t="str">
        <x:v>대지평단가 (만원)</x:v>
      </x:c>
      <x:c r="L4" s="13" t="str">
        <x:v>전용/연면적 (㎡)</x:v>
      </x:c>
      <x:c r="M4" s="13" t="str">
        <x:v>전용평단가 (만원)</x:v>
      </x:c>
      <x:c r="N4" s="13" t="str">
        <x:v>층</x:v>
      </x:c>
      <x:c r="O4" s="13" t="str">
        <x:v>공시가격 (만원)</x:v>
      </x:c>
      <x:c r="P4" s="13" t="str">
        <x:v>공시가 초과율</x:v>
      </x:c>
      <x:c r="Q4" s="13" t="str">
        <x:v>신축연도</x:v>
      </x:c>
      <x:c r="R4" s="13" t="str">
        <x:v>지하 여부</x:v>
      </x:c>
      <x:c r="S4" s="13" t="str">
        <x:v>직거래</x:v>
      </x:c>
      <x:c r="T4" s="13" t="str">
        <x:v>중개 소재지</x:v>
      </x:c>
      <x:c r="U4" s="13" t="str">
        <x:v>거래 ID</x:v>
      </x:c>
      <x:c r="V4" s="13" t="str">
        <x:v>상태</x:v>
      </x:c>
    </x:row>
    <x:row r="5">
      <x:c r="A5" s="55" t="n">
        <x:v>1</x:v>
      </x:c>
      <x:c r="B5" s="56" t="n">
        <x:v>46256</x:v>
      </x:c>
      <x:c r="C5" s="61" t="str">
        <x:v>청파동1가 89-34</x:v>
      </x:c>
      <x:c r="D5" s="61" t="str">
        <x:v>으뜸아트빌리지</x:v>
      </x:c>
      <x:c r="E5" s="55" t="str">
        <x:v>다세대주택</x:v>
      </x:c>
      <x:c r="F5" s="57" t="n">
        <x:v>113000</x:v>
      </x:c>
      <x:c r="G5" s="58" t="n">
        <x:f>IFERROR(F5/10000,"")</x:f>
        <x:v>11.3</x:v>
      </x:c>
      <x:c r="H5" s="55" t="str">
        <x:v>연립</x:v>
      </x:c>
      <x:c r="I5" s="59" t="n">
        <x:v>35.84</x:v>
      </x:c>
      <x:c r="J5" s="59" t="n">
        <x:f>IFERROR(I5/3.3058,"")</x:f>
        <x:v>10.841551213019542</x:v>
      </x:c>
      <x:c r="K5" s="57" t="n">
        <x:f>IFERROR(F5/J5,"")</x:f>
        <x:v>10422.862723214284</x:v>
      </x:c>
      <x:c r="L5" s="59" t="n">
        <x:v>55.59</x:v>
      </x:c>
      <x:c r="M5" s="57" t="n">
        <x:f>IFERROR(F5/(L5/3.3),"")</x:f>
        <x:v>6708.041014570965</x:v>
      </x:c>
      <x:c r="N5" s="55" t="str">
        <x:v>2</x:v>
      </x:c>
      <x:c r="O5" s="57" t="n">
        <x:v>41300</x:v>
      </x:c>
      <x:c r="P5" s="60" t="n">
        <x:f>IFERROR(F5/O5-1,"")</x:f>
        <x:v>1.7360774818401938</x:v>
      </x:c>
      <x:c r="Q5" s="55" t="n">
        <x:v>1997</x:v>
      </x:c>
      <x:c r="R5" s="55" t="str">
        <x:v>비지하</x:v>
      </x:c>
      <x:c r="S5" s="55" t="str">
        <x:v>중개거래</x:v>
      </x:c>
      <x:c r="T5" s="55" t="str">
        <x:v>서울 용산구</x:v>
      </x:c>
      <x:c r="U5" s="55" t="n">
        <x:v>30144339</x:v>
      </x:c>
      <x:c r="V5" s="55" t="str">
        <x:v>활성</x:v>
      </x:c>
    </x:row>
    <x:row r="6">
      <x:c r="A6" s="55" t="n">
        <x:v>2</x:v>
      </x:c>
      <x:c r="B6" s="56" t="n">
        <x:v>46225</x:v>
      </x:c>
      <x:c r="C6" s="61" t="str">
        <x:v>청파동1가 1-61</x:v>
      </x:c>
      <x:c r="D6" s="61" t="str">
        <x:v>대성그린빌라</x:v>
      </x:c>
      <x:c r="E6" s="55" t="str">
        <x:v>다세대주택</x:v>
      </x:c>
      <x:c r="F6" s="57" t="n">
        <x:v>109000</x:v>
      </x:c>
      <x:c r="G6" s="58" t="n">
        <x:f>IFERROR(F6/10000,"")</x:f>
        <x:v>10.9</x:v>
      </x:c>
      <x:c r="H6" s="55" t="str">
        <x:v>연립</x:v>
      </x:c>
      <x:c r="I6" s="59" t="n">
        <x:v>31.1</x:v>
      </x:c>
      <x:c r="J6" s="59" t="n">
        <x:f>IFERROR(I6/3.3058,"")</x:f>
        <x:v>9.407707665315506</x:v>
      </x:c>
      <x:c r="K6" s="57" t="n">
        <x:f>IFERROR(F6/J6,"")</x:f>
        <x:v>11586.244372990353</x:v>
      </x:c>
      <x:c r="L6" s="59" t="n">
        <x:v>62.8</x:v>
      </x:c>
      <x:c r="M6" s="57" t="n">
        <x:f>IFERROR(F6/(L6/3.3),"")</x:f>
        <x:v>5727.707006369426</x:v>
      </x:c>
      <x:c r="N6" s="55" t="str">
        <x:v>2</x:v>
      </x:c>
      <x:c r="O6" s="57" t="n">
        <x:v>41200</x:v>
      </x:c>
      <x:c r="P6" s="60" t="n">
        <x:f>IFERROR(F6/O6-1,"")</x:f>
        <x:v>1.645631067961165</x:v>
      </x:c>
      <x:c r="Q6" s="55" t="n">
        <x:v>1997</x:v>
      </x:c>
      <x:c r="R6" s="55" t="str">
        <x:v>비지하</x:v>
      </x:c>
      <x:c r="S6" s="55" t="str">
        <x:v>중개거래</x:v>
      </x:c>
      <x:c r="T6" s="55" t="str">
        <x:v>서울 용산구</x:v>
      </x:c>
      <x:c r="U6" s="55" t="n">
        <x:v>30156236</x:v>
      </x:c>
      <x:c r="V6" s="55" t="str">
        <x:v>활성</x:v>
      </x:c>
    </x:row>
    <x:row r="7">
      <x:c r="A7" s="55" t="n">
        <x:v>3</x:v>
      </x:c>
      <x:c r="B7" s="56" t="n">
        <x:v>46216</x:v>
      </x:c>
      <x:c r="C7" s="61" t="str">
        <x:v>청파동1가 89-5</x:v>
      </x:c>
      <x:c r="D7" s="61" t="str">
        <x:v>동궁빌라</x:v>
      </x:c>
      <x:c r="E7" s="55" t="str">
        <x:v>다세대주택</x:v>
      </x:c>
      <x:c r="F7" s="57" t="n">
        <x:v>139000</x:v>
      </x:c>
      <x:c r="G7" s="58" t="n">
        <x:f>IFERROR(F7/10000,"")</x:f>
        <x:v>13.9</x:v>
      </x:c>
      <x:c r="H7" s="55" t="str">
        <x:v>다세대</x:v>
      </x:c>
      <x:c r="I7" s="59" t="n">
        <x:v>46.252</x:v>
      </x:c>
      <x:c r="J7" s="59" t="n">
        <x:f>IFERROR(I7/3.3058,"")</x:f>
        <x:v>13.991167039748321</x:v>
      </x:c>
      <x:c r="K7" s="57" t="n">
        <x:f>IFERROR(F7/J7,"")</x:f>
        <x:v>9934.839574504886</x:v>
      </x:c>
      <x:c r="L7" s="59" t="n">
        <x:v>69.85</x:v>
      </x:c>
      <x:c r="M7" s="57" t="n">
        <x:f>IFERROR(F7/(L7/3.3),"")</x:f>
        <x:v>6566.929133858267</x:v>
      </x:c>
      <x:c r="N7" s="55" t="str">
        <x:v>4</x:v>
      </x:c>
      <x:c r="O7" s="57" t="n">
        <x:v>64500</x:v>
      </x:c>
      <x:c r="P7" s="60" t="n">
        <x:f>IFERROR(F7/O7-1,"")</x:f>
        <x:v>1.1550387596899223</x:v>
      </x:c>
      <x:c r="Q7" s="55" t="n">
        <x:v>2009</x:v>
      </x:c>
      <x:c r="R7" s="55" t="str">
        <x:v>비지하</x:v>
      </x:c>
      <x:c r="S7" s="55" t="str">
        <x:v>중개거래</x:v>
      </x:c>
      <x:c r="T7" s="55" t="str">
        <x:v>서울 마포구, 서울 용산구</x:v>
      </x:c>
      <x:c r="U7" s="55" t="n">
        <x:v>30156250</x:v>
      </x:c>
      <x:c r="V7" s="55" t="str">
        <x:v>활성</x:v>
      </x:c>
    </x:row>
    <x:row r="8">
      <x:c r="A8" s="55" t="n">
        <x:v>4</x:v>
      </x:c>
      <x:c r="B8" s="56" t="n">
        <x:v>46198</x:v>
      </x:c>
      <x:c r="C8" s="61" t="str">
        <x:v>청파동1가 3-2</x:v>
      </x:c>
      <x:c r="D8" s="61" t="str">
        <x:v>차세대빌라트</x:v>
      </x:c>
      <x:c r="E8" s="55" t="str">
        <x:v>다세대주택</x:v>
      </x:c>
      <x:c r="F8" s="57" t="n">
        <x:v>97000</x:v>
      </x:c>
      <x:c r="G8" s="58" t="n">
        <x:f>IFERROR(F8/10000,"")</x:f>
        <x:v>9.7</x:v>
      </x:c>
      <x:c r="H8" s="55" t="str">
        <x:v>연립</x:v>
      </x:c>
      <x:c r="I8" s="59" t="n">
        <x:v>33.12</x:v>
      </x:c>
      <x:c r="J8" s="59" t="n">
        <x:f>IFERROR(I8/3.3058,"")</x:f>
        <x:v>10.018754915602878</x:v>
      </x:c>
      <x:c r="K8" s="57" t="n">
        <x:f>IFERROR(F8/J8,"")</x:f>
        <x:v>9681.841787439615</x:v>
      </x:c>
      <x:c r="L8" s="59" t="n">
        <x:v>54.5</x:v>
      </x:c>
      <x:c r="M8" s="57" t="n">
        <x:f>IFERROR(F8/(L8/3.3),"")</x:f>
        <x:v>5873.394495412844</x:v>
      </x:c>
      <x:c r="N8" s="55" t="str">
        <x:v>3</x:v>
      </x:c>
      <x:c r="O8" s="57" t="n">
        <x:v>42000</x:v>
      </x:c>
      <x:c r="P8" s="60" t="n">
        <x:f>IFERROR(F8/O8-1,"")</x:f>
        <x:v>1.3095238095238093</x:v>
      </x:c>
      <x:c r="Q8" s="55" t="n">
        <x:v>1998</x:v>
      </x:c>
      <x:c r="R8" s="55" t="str">
        <x:v>비지하</x:v>
      </x:c>
      <x:c r="S8" s="55" t="str">
        <x:v>중개거래</x:v>
      </x:c>
      <x:c r="T8" s="55" t="str">
        <x:v>서울 용산구</x:v>
      </x:c>
      <x:c r="U8" s="55" t="n">
        <x:v>30038534</x:v>
      </x:c>
      <x:c r="V8" s="55" t="str">
        <x:v>활성</x:v>
      </x:c>
    </x:row>
    <x:row r="9">
      <x:c r="A9" s="55" t="n">
        <x:v>5</x:v>
      </x:c>
      <x:c r="B9" s="56" t="n">
        <x:v>46196</x:v>
      </x:c>
      <x:c r="C9" s="61" t="str">
        <x:v>청파동1가 4-2</x:v>
      </x:c>
      <x:c r="D9" s="61" t="str">
        <x:v>안드레아빌라</x:v>
      </x:c>
      <x:c r="E9" s="55" t="str">
        <x:v>다세대주택</x:v>
      </x:c>
      <x:c r="F9" s="57" t="n">
        <x:v>98000</x:v>
      </x:c>
      <x:c r="G9" s="58" t="n">
        <x:f>IFERROR(F9/10000,"")</x:f>
        <x:v>9.8</x:v>
      </x:c>
      <x:c r="H9" s="55" t="str">
        <x:v>다세대</x:v>
      </x:c>
      <x:c r="I9" s="59" t="n">
        <x:v>30.37</x:v>
      </x:c>
      <x:c r="J9" s="59" t="n">
        <x:f>IFERROR(I9/3.3058,"")</x:f>
        <x:v>9.186883659023534</x:v>
      </x:c>
      <x:c r="K9" s="57" t="n">
        <x:f>IFERROR(F9/J9,"")</x:f>
        <x:v>10667.382285149819</x:v>
      </x:c>
      <x:c r="L9" s="59" t="n">
        <x:v>59.85</x:v>
      </x:c>
      <x:c r="M9" s="57" t="n">
        <x:f>IFERROR(F9/(L9/3.3),"")</x:f>
        <x:v>5403.508771929824</x:v>
      </x:c>
      <x:c r="N9" s="55" t="str">
        <x:v>2</x:v>
      </x:c>
      <x:c r="O9" s="57" t="n">
        <x:v>43300</x:v>
      </x:c>
      <x:c r="P9" s="60" t="n">
        <x:f>IFERROR(F9/O9-1,"")</x:f>
        <x:v>1.2632794457274827</x:v>
      </x:c>
      <x:c r="Q9" s="55" t="n">
        <x:v>2001</x:v>
      </x:c>
      <x:c r="R9" s="55" t="str">
        <x:v>비지하</x:v>
      </x:c>
      <x:c r="S9" s="55" t="str">
        <x:v>중개거래</x:v>
      </x:c>
      <x:c r="T9" s="55" t="str">
        <x:v>서울 용산구</x:v>
      </x:c>
      <x:c r="U9" s="55" t="n">
        <x:v>30038566</x:v>
      </x:c>
      <x:c r="V9" s="55" t="str">
        <x:v>활성</x:v>
      </x:c>
    </x:row>
    <x:row r="10">
      <x:c r="A10" s="55" t="n">
        <x:v>6</x:v>
      </x:c>
      <x:c r="B10" s="56" t="n">
        <x:v>46182</x:v>
      </x:c>
      <x:c r="C10" s="61" t="str">
        <x:v>청파동1가 89-53</x:v>
      </x:c>
      <x:c r="D10" s="61" t="str">
        <x:v>(89-53)</x:v>
      </x:c>
      <x:c r="E10" s="55" t="str">
        <x:v>다세대주택</x:v>
      </x:c>
      <x:c r="F10" s="57" t="n">
        <x:v>86000</x:v>
      </x:c>
      <x:c r="G10" s="58" t="n">
        <x:f>IFERROR(F10/10000,"")</x:f>
        <x:v>8.6</x:v>
      </x:c>
      <x:c r="H10" s="55" t="str">
        <x:v>다세대</x:v>
      </x:c>
      <x:c r="I10" s="59" t="n">
        <x:v>26.98</x:v>
      </x:c>
      <x:c r="J10" s="59" t="n">
        <x:f>IFERROR(I10/3.3058,"")</x:f>
        <x:v>8.16141327364027</x:v>
      </x:c>
      <x:c r="K10" s="57" t="n">
        <x:f>IFERROR(F10/J10,"")</x:f>
        <x:v>10537.39065974796</x:v>
      </x:c>
      <x:c r="L10" s="59" t="n">
        <x:v>57.27</x:v>
      </x:c>
      <x:c r="M10" s="57" t="n">
        <x:f>IFERROR(F10/(L10/3.3),"")</x:f>
        <x:v>4955.474070193818</x:v>
      </x:c>
      <x:c r="N10" s="55" t="str">
        <x:v>1</x:v>
      </x:c>
      <x:c r="O10" s="57" t="n">
        <x:v>34300</x:v>
      </x:c>
      <x:c r="P10" s="60" t="n">
        <x:f>IFERROR(F10/O10-1,"")</x:f>
        <x:v>1.5072886297376091</x:v>
      </x:c>
      <x:c r="Q10" s="55" t="n">
        <x:v>2002</x:v>
      </x:c>
      <x:c r="R10" s="55" t="str">
        <x:v>비지하</x:v>
      </x:c>
      <x:c r="S10" s="55" t="str">
        <x:v>중개거래</x:v>
      </x:c>
      <x:c r="T10" s="55" t="str">
        <x:v>서울 마포구</x:v>
      </x:c>
      <x:c r="U10" s="55" t="n">
        <x:v>30038648</x:v>
      </x:c>
      <x:c r="V10" s="55" t="str">
        <x:v>활성</x:v>
      </x:c>
    </x:row>
    <x:row r="11">
      <x:c r="A11" s="55" t="n">
        <x:v>7</x:v>
      </x:c>
      <x:c r="B11" s="56" t="n">
        <x:v>46179</x:v>
      </x:c>
      <x:c r="C11" s="61" t="str">
        <x:v>청파동1가 1-96</x:v>
      </x:c>
      <x:c r="D11" s="61" t="str">
        <x:v>(1-96)</x:v>
      </x:c>
      <x:c r="E11" s="55" t="str">
        <x:v>다세대주택</x:v>
      </x:c>
      <x:c r="F11" s="57" t="n">
        <x:v>81500</x:v>
      </x:c>
      <x:c r="G11" s="58" t="n">
        <x:f>IFERROR(F11/10000,"")</x:f>
        <x:v>8.15</x:v>
      </x:c>
      <x:c r="H11" s="55" t="str">
        <x:v>다세대</x:v>
      </x:c>
      <x:c r="I11" s="59" t="n">
        <x:v>33.53</x:v>
      </x:c>
      <x:c r="J11" s="59" t="n">
        <x:f>IFERROR(I11/3.3058,"")</x:f>
        <x:v>10.142779357492891</x:v>
      </x:c>
      <x:c r="K11" s="57" t="n">
        <x:f>IFERROR(F11/J11,"")</x:f>
        <x:v>8035.2728899492995</x:v>
      </x:c>
      <x:c r="L11" s="59" t="n">
        <x:v>55.08</x:v>
      </x:c>
      <x:c r="M11" s="57" t="n">
        <x:f>IFERROR(F11/(L11/3.3),"")</x:f>
        <x:v>4882.897603485839</x:v>
      </x:c>
      <x:c r="N11" s="55" t="str">
        <x:v>1</x:v>
      </x:c>
      <x:c r="O11" s="57" t="n">
        <x:v>41400</x:v>
      </x:c>
      <x:c r="P11" s="60" t="n">
        <x:f>IFERROR(F11/O11-1,"")</x:f>
        <x:v>0.9685990338164252</x:v>
      </x:c>
      <x:c r="Q11" s="55" t="n">
        <x:v>1991</x:v>
      </x:c>
      <x:c r="R11" s="55" t="str">
        <x:v>비지하</x:v>
      </x:c>
      <x:c r="S11" s="55" t="str">
        <x:v>중개거래</x:v>
      </x:c>
      <x:c r="T11" s="55" t="str">
        <x:v>서울 강남구, 서울 용산구</x:v>
      </x:c>
      <x:c r="U11" s="55" t="n">
        <x:v>30038669</x:v>
      </x:c>
      <x:c r="V11" s="55" t="str">
        <x:v>활성</x:v>
      </x:c>
    </x:row>
    <x:row r="12">
      <x:c r="A12" s="55" t="n">
        <x:v>8</x:v>
      </x:c>
      <x:c r="B12" s="56" t="n">
        <x:v>46179</x:v>
      </x:c>
      <x:c r="C12" s="61" t="str">
        <x:v>청파동1가 3-39</x:v>
      </x:c>
      <x:c r="D12" s="61" t="str">
        <x:v>(3-39)</x:v>
      </x:c>
      <x:c r="E12" s="55" t="str">
        <x:v>다세대주택</x:v>
      </x:c>
      <x:c r="F12" s="57" t="n">
        <x:v>94000</x:v>
      </x:c>
      <x:c r="G12" s="58" t="n">
        <x:f>IFERROR(F12/10000,"")</x:f>
        <x:v>9.4</x:v>
      </x:c>
      <x:c r="H12" s="55" t="str">
        <x:v>다세대</x:v>
      </x:c>
      <x:c r="I12" s="59" t="n">
        <x:v>49.5</x:v>
      </x:c>
      <x:c r="J12" s="59" t="n">
        <x:f>IFERROR(I12/3.3058,"")</x:f>
        <x:v>14.973682618428217</x:v>
      </x:c>
      <x:c r="K12" s="57" t="n">
        <x:f>IFERROR(F12/J12,"")</x:f>
        <x:v>6277.680808080808</x:v>
      </x:c>
      <x:c r="L12" s="59" t="n">
        <x:v>50.04</x:v>
      </x:c>
      <x:c r="M12" s="57" t="n">
        <x:f>IFERROR(F12/(L12/3.3),"")</x:f>
        <x:v>6199.040767386091</x:v>
      </x:c>
      <x:c r="N12" s="55" t="str">
        <x:v>4</x:v>
      </x:c>
      <x:c r="O12" s="57" t="n">
        <x:v>47300</x:v>
      </x:c>
      <x:c r="P12" s="60" t="n">
        <x:f>IFERROR(F12/O12-1,"")</x:f>
        <x:v>0.9873150105708246</x:v>
      </x:c>
      <x:c r="Q12" s="55" t="n">
        <x:v>2008</x:v>
      </x:c>
      <x:c r="R12" s="55" t="str">
        <x:v>비지하</x:v>
      </x:c>
      <x:c r="S12" s="55" t="str">
        <x:v>중개거래</x:v>
      </x:c>
      <x:c r="T12" s="55" t="str">
        <x:v>서울 용산구</x:v>
      </x:c>
      <x:c r="U12" s="55" t="n">
        <x:v>30038664</x:v>
      </x:c>
      <x:c r="V12" s="55" t="str">
        <x:v>활성</x:v>
      </x:c>
    </x:row>
    <x:row r="13">
      <x:c r="A13" s="55" t="n">
        <x:v>9</x:v>
      </x:c>
      <x:c r="B13" s="56" t="n">
        <x:v>46179</x:v>
      </x:c>
      <x:c r="C13" s="61" t="str">
        <x:v>청파동1가 204-9</x:v>
      </x:c>
      <x:c r="D13" s="61" t="str">
        <x:v>(204-9)</x:v>
      </x:c>
      <x:c r="E13" s="55" t="str">
        <x:v>다세대주택</x:v>
      </x:c>
      <x:c r="F13" s="57" t="n">
        <x:v>84500</x:v>
      </x:c>
      <x:c r="G13" s="58" t="n">
        <x:f>IFERROR(F13/10000,"")</x:f>
        <x:v>8.45</x:v>
      </x:c>
      <x:c r="H13" s="55" t="str">
        <x:v>다세대</x:v>
      </x:c>
      <x:c r="I13" s="59" t="n">
        <x:v>41.85</x:v>
      </x:c>
      <x:c r="J13" s="59" t="n">
        <x:f>IFERROR(I13/3.3058,"")</x:f>
        <x:v>12.659568031943856</x:v>
      </x:c>
      <x:c r="K13" s="57" t="n">
        <x:f>IFERROR(F13/J13,"")</x:f>
        <x:v>6674.793309438471</x:v>
      </x:c>
      <x:c r="L13" s="59" t="n">
        <x:v>86.68</x:v>
      </x:c>
      <x:c r="M13" s="57" t="n">
        <x:f>IFERROR(F13/(L13/3.3),"")</x:f>
        <x:v>3217.0050761421317</x:v>
      </x:c>
      <x:c r="N13" s="55" t="str">
        <x:v>1</x:v>
      </x:c>
      <x:c r="O13" s="57" t="n">
        <x:v>47300</x:v>
      </x:c>
      <x:c r="P13" s="60" t="n">
        <x:f>IFERROR(F13/O13-1,"")</x:f>
        <x:v>0.7864693446088795</x:v>
      </x:c>
      <x:c r="Q13" s="55" t="n">
        <x:v>1981</x:v>
      </x:c>
      <x:c r="R13" s="55" t="str">
        <x:v>비지하</x:v>
      </x:c>
      <x:c r="S13" s="55" t="str">
        <x:v>중개거래</x:v>
      </x:c>
      <x:c r="T13" s="55" t="str">
        <x:v>서울 용산구</x:v>
      </x:c>
      <x:c r="U13" s="55" t="n">
        <x:v>30038630</x:v>
      </x:c>
      <x:c r="V13" s="55" t="str">
        <x:v>활성</x:v>
      </x:c>
    </x:row>
    <x:row r="14">
      <x:c r="A14" s="55" t="n">
        <x:v>10</x:v>
      </x:c>
      <x:c r="B14" s="56" t="n">
        <x:v>46177</x:v>
      </x:c>
      <x:c r="C14" s="61" t="str">
        <x:v>청파동1가 132-14</x:v>
      </x:c>
      <x:c r="D14" s="61" t="str">
        <x:v>미샹보르2차</x:v>
      </x:c>
      <x:c r="E14" s="55" t="str">
        <x:v>다세대주택</x:v>
      </x:c>
      <x:c r="F14" s="57" t="n">
        <x:v>83000</x:v>
      </x:c>
      <x:c r="G14" s="58" t="n">
        <x:f>IFERROR(F14/10000,"")</x:f>
        <x:v>8.3</x:v>
      </x:c>
      <x:c r="H14" s="55" t="str">
        <x:v>다세대</x:v>
      </x:c>
      <x:c r="I14" s="59" t="n">
        <x:v>20.6514</x:v>
      </x:c>
      <x:c r="J14" s="59" t="n">
        <x:f>IFERROR(I14/3.3058,"")</x:f>
        <x:v>6.247020388408251</x:v>
      </x:c>
      <x:c r="K14" s="57" t="n">
        <x:f>IFERROR(F14/J14,"")</x:f>
        <x:v>13286.334098414636</x:v>
      </x:c>
      <x:c r="L14" s="59" t="n">
        <x:v>29.36</x:v>
      </x:c>
      <x:c r="M14" s="57" t="n">
        <x:f>IFERROR(F14/(L14/3.3),"")</x:f>
        <x:v>9329.019073569483</x:v>
      </x:c>
      <x:c r="N14" s="55" t="str">
        <x:v>3</x:v>
      </x:c>
      <x:c r="O14" s="57" t="n">
        <x:v>43300</x:v>
      </x:c>
      <x:c r="P14" s="60" t="n">
        <x:f>IFERROR(F14/O14-1,"")</x:f>
        <x:v>0.9168591224018476</x:v>
      </x:c>
      <x:c r="Q14" s="55" t="n">
        <x:v>2019</x:v>
      </x:c>
      <x:c r="R14" s="55" t="str">
        <x:v>비지하</x:v>
      </x:c>
      <x:c r="S14" s="55" t="str">
        <x:v>중개거래</x:v>
      </x:c>
      <x:c r="T14" s="55" t="str">
        <x:v>서울 마포구</x:v>
      </x:c>
      <x:c r="U14" s="55" t="n">
        <x:v>30038671</x:v>
      </x:c>
      <x:c r="V14" s="55" t="str">
        <x:v>활성</x:v>
      </x:c>
    </x:row>
    <x:row r="15">
      <x:c r="A15" s="55" t="n">
        <x:v>11</x:v>
      </x:c>
      <x:c r="B15" s="56" t="n">
        <x:v>46170</x:v>
      </x:c>
      <x:c r="C15" s="61" t="str">
        <x:v>청파동1가 89-31</x:v>
      </x:c>
      <x:c r="D15" s="61" t="str">
        <x:v>프라임빌(89-31)</x:v>
      </x:c>
      <x:c r="E15" s="55" t="str">
        <x:v>다세대주택</x:v>
      </x:c>
      <x:c r="F15" s="57" t="n">
        <x:v>83000</x:v>
      </x:c>
      <x:c r="G15" s="58" t="n">
        <x:f>IFERROR(F15/10000,"")</x:f>
        <x:v>8.3</x:v>
      </x:c>
      <x:c r="H15" s="55" t="str">
        <x:v>다세대</x:v>
      </x:c>
      <x:c r="I15" s="59" t="n">
        <x:v>33.06</x:v>
      </x:c>
      <x:c r="J15" s="59" t="n">
        <x:f>IFERROR(I15/3.3058,"")</x:f>
        <x:v>10.000604997277513</x:v>
      </x:c>
      <x:c r="K15" s="57" t="n">
        <x:f>IFERROR(F15/J15,"")</x:f>
        <x:v>8299.497882637628</x:v>
      </x:c>
      <x:c r="L15" s="59" t="n">
        <x:v>62.26</x:v>
      </x:c>
      <x:c r="M15" s="57" t="n">
        <x:f>IFERROR(F15/(L15/3.3),"")</x:f>
        <x:v>4399.293286219081</x:v>
      </x:c>
      <x:c r="N15" s="55" t="str">
        <x:v>3</x:v>
      </x:c>
      <x:c r="O15" s="57" t="n">
        <x:v>50100</x:v>
      </x:c>
      <x:c r="P15" s="60" t="n">
        <x:f>IFERROR(F15/O15-1,"")</x:f>
        <x:v>0.656686626746507</x:v>
      </x:c>
      <x:c r="Q15" s="55" t="n">
        <x:v>2008</x:v>
      </x:c>
      <x:c r="R15" s="55" t="str">
        <x:v>비지하</x:v>
      </x:c>
      <x:c r="S15" s="55" t="str">
        <x:v>중개거래</x:v>
      </x:c>
      <x:c r="T15" s="55" t="str">
        <x:v>서울 용산구</x:v>
      </x:c>
      <x:c r="U15" s="55" t="n">
        <x:v>27664128</x:v>
      </x:c>
      <x:c r="V15" s="55" t="str">
        <x:v>활성</x:v>
      </x:c>
    </x:row>
    <x:row r="16">
      <x:c r="A16" s="55" t="n">
        <x:v>12</x:v>
      </x:c>
      <x:c r="B16" s="56" t="n">
        <x:v>46163</x:v>
      </x:c>
      <x:c r="C16" s="61" t="str">
        <x:v>청파동1가 132-14</x:v>
      </x:c>
      <x:c r="D16" s="61" t="str">
        <x:v>미샹보르2차</x:v>
      </x:c>
      <x:c r="E16" s="55" t="str">
        <x:v>다세대주택</x:v>
      </x:c>
      <x:c r="F16" s="57" t="n">
        <x:v>45000</x:v>
      </x:c>
      <x:c r="G16" s="58" t="n">
        <x:f>IFERROR(F16/10000,"")</x:f>
        <x:v>4.5</x:v>
      </x:c>
      <x:c r="H16" s="55" t="str">
        <x:v>다세대</x:v>
      </x:c>
      <x:c r="I16" s="59" t="n">
        <x:v>19.6616</x:v>
      </x:c>
      <x:c r="J16" s="59" t="n">
        <x:f>IFERROR(I16/3.3058,"")</x:f>
        <x:v>5.947607235767439</x:v>
      </x:c>
      <x:c r="K16" s="57" t="n">
        <x:f>IFERROR(F16/J16,"")</x:f>
        <x:v>7566.06786833218</x:v>
      </x:c>
      <x:c r="L16" s="59" t="n">
        <x:v>25.33</x:v>
      </x:c>
      <x:c r="M16" s="57" t="n">
        <x:f>IFERROR(F16/(L16/3.3),"")</x:f>
        <x:v>5862.613501776549</x:v>
      </x:c>
      <x:c r="N16" s="55" t="str">
        <x:v>2</x:v>
      </x:c>
      <x:c r="O16" s="57" t="n">
        <x:v>37400</x:v>
      </x:c>
      <x:c r="P16" s="60" t="n">
        <x:f>IFERROR(F16/O16-1,"")</x:f>
        <x:v>0.20320855614973254</x:v>
      </x:c>
      <x:c r="Q16" s="55" t="n">
        <x:v>2019</x:v>
      </x:c>
      <x:c r="R16" s="55" t="str">
        <x:v>비지하</x:v>
      </x:c>
      <x:c r="S16" s="55" t="str">
        <x:v>직거래</x:v>
      </x:c>
      <x:c r="T16" s="55" t="str"/>
      <x:c r="U16" s="55" t="n">
        <x:v>27664090</x:v>
      </x:c>
      <x:c r="V16" s="55" t="str">
        <x:v>활성</x:v>
      </x:c>
    </x:row>
    <x:row r="17">
      <x:c r="A17" s="55" t="n">
        <x:v>13</x:v>
      </x:c>
      <x:c r="B17" s="56" t="n">
        <x:v>46161</x:v>
      </x:c>
      <x:c r="C17" s="61" t="str">
        <x:v>청파동1가 89-153</x:v>
      </x:c>
      <x:c r="D17" s="61" t="str">
        <x:v>(89-153)</x:v>
      </x:c>
      <x:c r="E17" s="55" t="str">
        <x:v>다세대주택</x:v>
      </x:c>
      <x:c r="F17" s="57" t="n">
        <x:v>68000</x:v>
      </x:c>
      <x:c r="G17" s="58" t="n">
        <x:f>IFERROR(F17/10000,"")</x:f>
        <x:v>6.8</x:v>
      </x:c>
      <x:c r="H17" s="55" t="str">
        <x:v>다세대</x:v>
      </x:c>
      <x:c r="I17" s="59" t="n">
        <x:v>26.12</x:v>
      </x:c>
      <x:c r="J17" s="59" t="n">
        <x:f>IFERROR(I17/3.3058,"")</x:f>
        <x:v>7.901264444310001</x:v>
      </x:c>
      <x:c r="K17" s="57" t="n">
        <x:f>IFERROR(F17/J17,"")</x:f>
        <x:v>8606.217457886676</x:v>
      </x:c>
      <x:c r="L17" s="59" t="n">
        <x:v>18.97</x:v>
      </x:c>
      <x:c r="M17" s="57" t="n">
        <x:f>IFERROR(F17/(L17/3.3),"")</x:f>
        <x:v>11829.20400632578</x:v>
      </x:c>
      <x:c r="N17" s="55" t="str">
        <x:v>2</x:v>
      </x:c>
      <x:c r="O17" s="57" t="n">
        <x:v>31800</x:v>
      </x:c>
      <x:c r="P17" s="60" t="n">
        <x:f>IFERROR(F17/O17-1,"")</x:f>
        <x:v>1.1383647798742138</x:v>
      </x:c>
      <x:c r="Q17" s="55" t="n">
        <x:v>2008</x:v>
      </x:c>
      <x:c r="R17" s="55" t="str">
        <x:v>비지하</x:v>
      </x:c>
      <x:c r="S17" s="55" t="str">
        <x:v>중개거래</x:v>
      </x:c>
      <x:c r="T17" s="55" t="str">
        <x:v>서울 용산구</x:v>
      </x:c>
      <x:c r="U17" s="55" t="n">
        <x:v>27664149</x:v>
      </x:c>
      <x:c r="V17" s="55" t="str">
        <x:v>활성</x:v>
      </x:c>
    </x:row>
    <x:row r="18">
      <x:c r="A18" s="55" t="n">
        <x:v>14</x:v>
      </x:c>
      <x:c r="B18" s="56" t="n">
        <x:v>46158</x:v>
      </x:c>
      <x:c r="C18" s="61" t="str">
        <x:v>청파동1가 91-54</x:v>
      </x:c>
      <x:c r="D18" s="61" t="str">
        <x:v>청파시온빌</x:v>
      </x:c>
      <x:c r="E18" s="55" t="str">
        <x:v>다세대주택</x:v>
      </x:c>
      <x:c r="F18" s="57" t="n">
        <x:v>76000</x:v>
      </x:c>
      <x:c r="G18" s="58" t="n">
        <x:f>IFERROR(F18/10000,"")</x:f>
        <x:v>7.6</x:v>
      </x:c>
      <x:c r="H18" s="55" t="str">
        <x:v>다세대</x:v>
      </x:c>
      <x:c r="I18" s="59" t="n">
        <x:v>20.26</x:v>
      </x:c>
      <x:c r="J18" s="59" t="n">
        <x:f>IFERROR(I18/3.3058,"")</x:f>
        <x:v>6.128622421199105</x:v>
      </x:c>
      <x:c r="K18" s="57" t="n">
        <x:f>IFERROR(F18/J18,"")</x:f>
        <x:v>12400.829220138203</x:v>
      </x:c>
      <x:c r="L18" s="59" t="n">
        <x:v>25.98</x:v>
      </x:c>
      <x:c r="M18" s="57" t="n">
        <x:f>IFERROR(F18/(L18/3.3),"")</x:f>
        <x:v>9653.579676674364</x:v>
      </x:c>
      <x:c r="N18" s="55" t="str">
        <x:v>2</x:v>
      </x:c>
      <x:c r="O18" s="57" t="n">
        <x:v>31500</x:v>
      </x:c>
      <x:c r="P18" s="60" t="n">
        <x:f>IFERROR(F18/O18-1,"")</x:f>
        <x:v>1.4126984126984126</x:v>
      </x:c>
      <x:c r="Q18" s="55" t="n">
        <x:v>2017</x:v>
      </x:c>
      <x:c r="R18" s="55" t="str">
        <x:v>비지하</x:v>
      </x:c>
      <x:c r="S18" s="55" t="str">
        <x:v>중개거래</x:v>
      </x:c>
      <x:c r="T18" s="55" t="str">
        <x:v>서울 용산구</x:v>
      </x:c>
      <x:c r="U18" s="55" t="n">
        <x:v>27664117</x:v>
      </x:c>
      <x:c r="V18" s="55" t="str">
        <x:v>활성</x:v>
      </x:c>
    </x:row>
    <x:row r="19">
      <x:c r="A19" s="55" t="n">
        <x:v>15</x:v>
      </x:c>
      <x:c r="B19" s="56" t="n">
        <x:v>46155</x:v>
      </x:c>
      <x:c r="C19" s="61" t="str">
        <x:v>청파동1가 1-53</x:v>
      </x:c>
      <x:c r="D19" s="61" t="str">
        <x:v>효성빌라트</x:v>
      </x:c>
      <x:c r="E19" s="55" t="str">
        <x:v>다세대주택</x:v>
      </x:c>
      <x:c r="F19" s="57" t="n">
        <x:v>95000</x:v>
      </x:c>
      <x:c r="G19" s="58" t="n">
        <x:f>IFERROR(F19/10000,"")</x:f>
        <x:v>9.5</x:v>
      </x:c>
      <x:c r="H19" s="55" t="str">
        <x:v>다세대</x:v>
      </x:c>
      <x:c r="I19" s="59" t="n">
        <x:v>30.2</x:v>
      </x:c>
      <x:c r="J19" s="59" t="n">
        <x:f>IFERROR(I19/3.3058,"")</x:f>
        <x:v>9.135458890434993</x:v>
      </x:c>
      <x:c r="K19" s="57" t="n">
        <x:f>IFERROR(F19/J19,"")</x:f>
        <x:v>10399.039735099337</x:v>
      </x:c>
      <x:c r="L19" s="59" t="n">
        <x:v>65.05</x:v>
      </x:c>
      <x:c r="M19" s="57" t="n">
        <x:f>IFERROR(F19/(L19/3.3),"")</x:f>
        <x:v>4819.369715603382</x:v>
      </x:c>
      <x:c r="N19" s="55" t="str">
        <x:v>2</x:v>
      </x:c>
      <x:c r="O19" s="57" t="n">
        <x:v>40500</x:v>
      </x:c>
      <x:c r="P19" s="60" t="n">
        <x:f>IFERROR(F19/O19-1,"")</x:f>
        <x:v>1.3456790123456792</x:v>
      </x:c>
      <x:c r="Q19" s="55" t="n">
        <x:v>2001</x:v>
      </x:c>
      <x:c r="R19" s="55" t="str">
        <x:v>비지하</x:v>
      </x:c>
      <x:c r="S19" s="55" t="str">
        <x:v>중개거래</x:v>
      </x:c>
      <x:c r="T19" s="55" t="str">
        <x:v>서울 서대문구, 서울 용산구</x:v>
      </x:c>
      <x:c r="U19" s="55" t="n">
        <x:v>27664158</x:v>
      </x:c>
      <x:c r="V19" s="55" t="str">
        <x:v>활성</x:v>
      </x:c>
    </x:row>
    <x:row r="20">
      <x:c r="A20" s="55" t="n">
        <x:v>16</x:v>
      </x:c>
      <x:c r="B20" s="56" t="n">
        <x:v>46137</x:v>
      </x:c>
      <x:c r="C20" s="61" t="str">
        <x:v>청파동1가 1-65</x:v>
      </x:c>
      <x:c r="D20" s="61" t="str">
        <x:v>(1-65)</x:v>
      </x:c>
      <x:c r="E20" s="55" t="str">
        <x:v>다세대주택</x:v>
      </x:c>
      <x:c r="F20" s="57" t="n">
        <x:v>99500</x:v>
      </x:c>
      <x:c r="G20" s="58" t="n">
        <x:f>IFERROR(F20/10000,"")</x:f>
        <x:v>9.95</x:v>
      </x:c>
      <x:c r="H20" s="55" t="str">
        <x:v>다세대</x:v>
      </x:c>
      <x:c r="I20" s="59" t="n">
        <x:v>36.35</x:v>
      </x:c>
      <x:c r="J20" s="59" t="n">
        <x:f>IFERROR(I20/3.3058,"")</x:f>
        <x:v>10.995825518785166</x:v>
      </x:c>
      <x:c r="K20" s="57" t="n">
        <x:f>IFERROR(F20/J20,"")</x:f>
        <x:v>9048.888583218706</x:v>
      </x:c>
      <x:c r="L20" s="59" t="n">
        <x:v>68.85</x:v>
      </x:c>
      <x:c r="M20" s="57" t="n">
        <x:f>IFERROR(F20/(L20/3.3),"")</x:f>
        <x:v>4769.063180827887</x:v>
      </x:c>
      <x:c r="N20" s="55" t="str">
        <x:v>4</x:v>
      </x:c>
      <x:c r="O20" s="57" t="n">
        <x:v>60300</x:v>
      </x:c>
      <x:c r="P20" s="60" t="n">
        <x:f>IFERROR(F20/O20-1,"")</x:f>
        <x:v>0.6500829187396351</x:v>
      </x:c>
      <x:c r="Q20" s="55" t="n">
        <x:v>2009</x:v>
      </x:c>
      <x:c r="R20" s="55" t="str">
        <x:v>비지하</x:v>
      </x:c>
      <x:c r="S20" s="55" t="str">
        <x:v>중개거래</x:v>
      </x:c>
      <x:c r="T20" s="55" t="str">
        <x:v>서울 용산구</x:v>
      </x:c>
      <x:c r="U20" s="55" t="n">
        <x:v>24959328</x:v>
      </x:c>
      <x:c r="V20" s="55" t="str">
        <x:v>활성</x:v>
      </x:c>
    </x:row>
    <x:row r="21">
      <x:c r="A21" s="55" t="n">
        <x:v>17</x:v>
      </x:c>
      <x:c r="B21" s="56" t="n">
        <x:v>46127</x:v>
      </x:c>
      <x:c r="C21" s="61" t="str">
        <x:v>청파동1가 1-46</x:v>
      </x:c>
      <x:c r="D21" s="61" t="str">
        <x:v>에버그린</x:v>
      </x:c>
      <x:c r="E21" s="55" t="str">
        <x:v>다세대주택</x:v>
      </x:c>
      <x:c r="F21" s="57" t="n">
        <x:v>91000</x:v>
      </x:c>
      <x:c r="G21" s="58" t="n">
        <x:f>IFERROR(F21/10000,"")</x:f>
        <x:v>9.1</x:v>
      </x:c>
      <x:c r="H21" s="55" t="str">
        <x:v>다세대</x:v>
      </x:c>
      <x:c r="I21" s="59" t="n">
        <x:v>29.8</x:v>
      </x:c>
      <x:c r="J21" s="59" t="n">
        <x:f>IFERROR(I21/3.3058,"")</x:f>
        <x:v>9.014459434932542</x:v>
      </x:c>
      <x:c r="K21" s="57" t="n">
        <x:f>IFERROR(F21/J21,"")</x:f>
        <x:v>10094.892617449665</x:v>
      </x:c>
      <x:c r="L21" s="59" t="n">
        <x:v>61.73</x:v>
      </x:c>
      <x:c r="M21" s="57" t="n">
        <x:f>IFERROR(F21/(L21/3.3),"")</x:f>
        <x:v>4864.73351692856</x:v>
      </x:c>
      <x:c r="N21" s="55" t="str">
        <x:v>1</x:v>
      </x:c>
      <x:c r="O21" s="57" t="n">
        <x:v>44300</x:v>
      </x:c>
      <x:c r="P21" s="60" t="n">
        <x:f>IFERROR(F21/O21-1,"")</x:f>
        <x:v>1.054176072234763</x:v>
      </x:c>
      <x:c r="Q21" s="55" t="n">
        <x:v>2008</x:v>
      </x:c>
      <x:c r="R21" s="55" t="str">
        <x:v>비지하</x:v>
      </x:c>
      <x:c r="S21" s="55" t="str">
        <x:v>중개거래</x:v>
      </x:c>
      <x:c r="T21" s="55" t="str">
        <x:v>서울 서대문구, 서울 용산구</x:v>
      </x:c>
      <x:c r="U21" s="55" t="n">
        <x:v>24959362</x:v>
      </x:c>
      <x:c r="V21" s="55" t="str">
        <x:v>활성</x:v>
      </x:c>
    </x:row>
    <x:row r="22">
      <x:c r="A22" s="55" t="n">
        <x:v>18</x:v>
      </x:c>
      <x:c r="B22" s="56" t="n">
        <x:v>46125</x:v>
      </x:c>
      <x:c r="C22" s="61" t="str">
        <x:v>청파동1가 3-39</x:v>
      </x:c>
      <x:c r="D22" s="61" t="str">
        <x:v>(3-39)</x:v>
      </x:c>
      <x:c r="E22" s="55" t="str">
        <x:v>다세대주택</x:v>
      </x:c>
      <x:c r="F22" s="57" t="n">
        <x:v>97000</x:v>
      </x:c>
      <x:c r="G22" s="58" t="n">
        <x:f>IFERROR(F22/10000,"")</x:f>
        <x:v>9.7</x:v>
      </x:c>
      <x:c r="H22" s="55" t="str">
        <x:v>다세대</x:v>
      </x:c>
      <x:c r="I22" s="59" t="n">
        <x:v>49.5</x:v>
      </x:c>
      <x:c r="J22" s="59" t="n">
        <x:f>IFERROR(I22/3.3058,"")</x:f>
        <x:v>14.973682618428217</x:v>
      </x:c>
      <x:c r="K22" s="57" t="n">
        <x:f>IFERROR(F22/J22,"")</x:f>
        <x:v>6478.0323232323235</x:v>
      </x:c>
      <x:c r="L22" s="59" t="n">
        <x:v>50.04</x:v>
      </x:c>
      <x:c r="M22" s="57" t="n">
        <x:f>IFERROR(F22/(L22/3.3),"")</x:f>
        <x:v>6396.882494004796</x:v>
      </x:c>
      <x:c r="N22" s="55" t="str">
        <x:v>2</x:v>
      </x:c>
      <x:c r="O22" s="57" t="n">
        <x:v>49000</x:v>
      </x:c>
      <x:c r="P22" s="60" t="n">
        <x:f>IFERROR(F22/O22-1,"")</x:f>
        <x:v>0.9795918367346939</x:v>
      </x:c>
      <x:c r="Q22" s="55" t="n">
        <x:v>2008</x:v>
      </x:c>
      <x:c r="R22" s="55" t="str">
        <x:v>비지하</x:v>
      </x:c>
      <x:c r="S22" s="55" t="str">
        <x:v>중개거래</x:v>
      </x:c>
      <x:c r="T22" s="55" t="str">
        <x:v>서울 용산구</x:v>
      </x:c>
      <x:c r="U22" s="55" t="n">
        <x:v>24959311</x:v>
      </x:c>
      <x:c r="V22" s="55" t="str">
        <x:v>활성</x:v>
      </x:c>
    </x:row>
    <x:row r="23">
      <x:c r="A23" s="55" t="n">
        <x:v>19</x:v>
      </x:c>
      <x:c r="B23" s="56" t="n">
        <x:v>46115</x:v>
      </x:c>
      <x:c r="C23" s="61" t="str">
        <x:v>청파동1가 89-14</x:v>
      </x:c>
      <x:c r="D23" s="61" t="str">
        <x:v>(89-14)</x:v>
      </x:c>
      <x:c r="E23" s="55" t="str">
        <x:v>다세대주택</x:v>
      </x:c>
      <x:c r="F23" s="57" t="n">
        <x:v>50000</x:v>
      </x:c>
      <x:c r="G23" s="58" t="n">
        <x:f>IFERROR(F23/10000,"")</x:f>
        <x:v>5</x:v>
      </x:c>
      <x:c r="H23" s="55" t="str">
        <x:v>다세대</x:v>
      </x:c>
      <x:c r="I23" s="59" t="n">
        <x:v>31.6</x:v>
      </x:c>
      <x:c r="J23" s="59" t="n">
        <x:f>IFERROR(I23/3.3058,"")</x:f>
        <x:v>9.55895698469357</x:v>
      </x:c>
      <x:c r="K23" s="57" t="n">
        <x:f>IFERROR(F23/J23,"")</x:f>
        <x:v>5230.696202531645</x:v>
      </x:c>
      <x:c r="L23" s="59" t="n">
        <x:v>62.19</x:v>
      </x:c>
      <x:c r="M23" s="57" t="n">
        <x:f>IFERROR(F23/(L23/3.3),"")</x:f>
        <x:v>2653.1596719729855</x:v>
      </x:c>
      <x:c r="N23" s="55" t="str">
        <x:v>3</x:v>
      </x:c>
      <x:c r="O23" s="57" t="n">
        <x:v>35700</x:v>
      </x:c>
      <x:c r="P23" s="60" t="n">
        <x:f>IFERROR(F23/O23-1,"")</x:f>
        <x:v>0.40056022408963576</x:v>
      </x:c>
      <x:c r="Q23" s="55" t="n">
        <x:v>2004</x:v>
      </x:c>
      <x:c r="R23" s="55" t="str">
        <x:v>비지하</x:v>
      </x:c>
      <x:c r="S23" s="55" t="str">
        <x:v>직거래</x:v>
      </x:c>
      <x:c r="T23" s="55" t="str"/>
      <x:c r="U23" s="55" t="n">
        <x:v>24959365</x:v>
      </x:c>
      <x:c r="V23" s="55" t="str">
        <x:v>활성</x:v>
      </x:c>
    </x:row>
    <x:row r="24">
      <x:c r="A24" s="55" t="n">
        <x:v>20</x:v>
      </x:c>
      <x:c r="B24" s="56" t="n">
        <x:v>46099</x:v>
      </x:c>
      <x:c r="C24" s="61" t="str">
        <x:v>청파동1가 1-65</x:v>
      </x:c>
      <x:c r="D24" s="61" t="str">
        <x:v>(1-65)</x:v>
      </x:c>
      <x:c r="E24" s="55" t="str">
        <x:v>다세대주택</x:v>
      </x:c>
      <x:c r="F24" s="57" t="n">
        <x:v>86000</x:v>
      </x:c>
      <x:c r="G24" s="58" t="n">
        <x:f>IFERROR(F24/10000,"")</x:f>
        <x:v>8.6</x:v>
      </x:c>
      <x:c r="H24" s="55" t="str">
        <x:v>다세대</x:v>
      </x:c>
      <x:c r="I24" s="59" t="n">
        <x:v>28.1</x:v>
      </x:c>
      <x:c r="J24" s="59" t="n">
        <x:f>IFERROR(I24/3.3058,"")</x:f>
        <x:v>8.50021174904713</x:v>
      </x:c>
      <x:c r="K24" s="57" t="n">
        <x:f>IFERROR(F24/J24,"")</x:f>
        <x:v>10117.395017793593</x:v>
      </x:c>
      <x:c r="L24" s="59" t="n">
        <x:v>50.86</x:v>
      </x:c>
      <x:c r="M24" s="57" t="n">
        <x:f>IFERROR(F24/(L24/3.3),"")</x:f>
        <x:v>5580.023594180102</x:v>
      </x:c>
      <x:c r="N24" s="55" t="str">
        <x:v>2</x:v>
      </x:c>
      <x:c r="O24" s="57" t="n">
        <x:v>50500</x:v>
      </x:c>
      <x:c r="P24" s="60" t="n">
        <x:f>IFERROR(F24/O24-1,"")</x:f>
        <x:v>0.7029702970297029</x:v>
      </x:c>
      <x:c r="Q24" s="55" t="n">
        <x:v>2009</x:v>
      </x:c>
      <x:c r="R24" s="55" t="str">
        <x:v>비지하</x:v>
      </x:c>
      <x:c r="S24" s="55" t="str">
        <x:v>중개거래</x:v>
      </x:c>
      <x:c r="T24" s="55" t="str"/>
      <x:c r="U24" s="55" t="n">
        <x:v>25444617</x:v>
      </x:c>
      <x:c r="V24" s="55" t="str">
        <x:v>활성</x:v>
      </x:c>
    </x:row>
    <x:row r="25">
      <x:c r="A25" s="55" t="n">
        <x:v>21</x:v>
      </x:c>
      <x:c r="B25" s="56" t="n">
        <x:v>46098</x:v>
      </x:c>
      <x:c r="C25" s="61" t="str">
        <x:v>청파동1가 89-4</x:v>
      </x:c>
      <x:c r="D25" s="61" t="str">
        <x:v>다인아트빌(89-4)</x:v>
      </x:c>
      <x:c r="E25" s="55" t="str">
        <x:v>다세대주택</x:v>
      </x:c>
      <x:c r="F25" s="57" t="n">
        <x:v>44500</x:v>
      </x:c>
      <x:c r="G25" s="58" t="n">
        <x:f>IFERROR(F25/10000,"")</x:f>
        <x:v>4.45</x:v>
      </x:c>
      <x:c r="H25" s="55" t="str">
        <x:v>다세대</x:v>
      </x:c>
      <x:c r="I25" s="59" t="n">
        <x:v>36.08</x:v>
      </x:c>
      <x:c r="J25" s="59" t="n">
        <x:f>IFERROR(I25/3.3058,"")</x:f>
        <x:v>10.91415088632101</x:v>
      </x:c>
      <x:c r="K25" s="57" t="n">
        <x:f>IFERROR(F25/J25,"")</x:f>
        <x:v>4077.275498891353</x:v>
      </x:c>
      <x:c r="L25" s="59" t="n">
        <x:v>43.23</x:v>
      </x:c>
      <x:c r="M25" s="57" t="n">
        <x:f>IFERROR(F25/(L25/3.3),"")</x:f>
        <x:v>3396.946564885496</x:v>
      </x:c>
      <x:c r="N25" s="55" t="str">
        <x:v>3</x:v>
      </x:c>
      <x:c r="O25" s="57" t="n">
        <x:v>57700</x:v>
      </x:c>
      <x:c r="P25" s="60" t="n">
        <x:f>IFERROR(F25/O25-1,"")</x:f>
        <x:v>-0.22876949740034658</x:v>
      </x:c>
      <x:c r="Q25" s="55" t="n">
        <x:v>2007</x:v>
      </x:c>
      <x:c r="R25" s="55" t="str">
        <x:v>비지하</x:v>
      </x:c>
      <x:c r="S25" s="55" t="str">
        <x:v>중개거래</x:v>
      </x:c>
      <x:c r="T25" s="55" t="str">
        <x:v>서울 용산구</x:v>
      </x:c>
      <x:c r="U25" s="55" t="n">
        <x:v>25444605</x:v>
      </x:c>
      <x:c r="V25" s="55" t="str">
        <x:v>활성</x:v>
      </x:c>
    </x:row>
    <x:row r="26">
      <x:c r="A26" s="55" t="n">
        <x:v>22</x:v>
      </x:c>
      <x:c r="B26" s="56" t="n">
        <x:v>46093</x:v>
      </x:c>
      <x:c r="C26" s="61" t="str">
        <x:v>청파동1가 58-18</x:v>
      </x:c>
      <x:c r="D26" s="61" t="str">
        <x:v>명신빌라(58-18)</x:v>
      </x:c>
      <x:c r="E26" s="55" t="str">
        <x:v>다세대주택</x:v>
      </x:c>
      <x:c r="F26" s="57" t="n">
        <x:v>110000</x:v>
      </x:c>
      <x:c r="G26" s="58" t="n">
        <x:f>IFERROR(F26/10000,"")</x:f>
        <x:v>11</x:v>
      </x:c>
      <x:c r="H26" s="55" t="str">
        <x:v>다세대</x:v>
      </x:c>
      <x:c r="I26" s="59" t="n">
        <x:v>43.69</x:v>
      </x:c>
      <x:c r="J26" s="59" t="n">
        <x:f>IFERROR(I26/3.3058,"")</x:f>
        <x:v>13.216165527255127</x:v>
      </x:c>
      <x:c r="K26" s="57" t="n">
        <x:f>IFERROR(F26/J26,"")</x:f>
        <x:v>8323.14030670634</x:v>
      </x:c>
      <x:c r="L26" s="59" t="n">
        <x:v>70.95</x:v>
      </x:c>
      <x:c r="M26" s="57" t="n">
        <x:f>IFERROR(F26/(L26/3.3),"")</x:f>
        <x:v>5116.279069767441</x:v>
      </x:c>
      <x:c r="N26" s="55" t="str">
        <x:v>2</x:v>
      </x:c>
      <x:c r="O26" s="57" t="n">
        <x:v>50800</x:v>
      </x:c>
      <x:c r="P26" s="60" t="n">
        <x:f>IFERROR(F26/O26-1,"")</x:f>
        <x:v>1.1653543307086616</x:v>
      </x:c>
      <x:c r="Q26" s="55" t="n">
        <x:v>1990</x:v>
      </x:c>
      <x:c r="R26" s="55" t="str">
        <x:v>비지하</x:v>
      </x:c>
      <x:c r="S26" s="55" t="str">
        <x:v>중개거래</x:v>
      </x:c>
      <x:c r="T26" s="55" t="str">
        <x:v>서울 마포구, 서울 용산구</x:v>
      </x:c>
      <x:c r="U26" s="55" t="n">
        <x:v>25444635</x:v>
      </x:c>
      <x:c r="V26" s="55" t="str">
        <x:v>활성</x:v>
      </x:c>
    </x:row>
  </x:sheetData>
  <x:mergeCells>
    <x:mergeCell ref="A1:V1"/>
    <x:mergeCell ref="A2:V2"/>
  </x:mergeCells>
  <x:pageMargins left="0.7" right="0.7" top="0.75" bottom="0.75" header="0.3" footer="0.3"/>
  <x:tableParts count="1">
    <x:tablePart xmlns:r="http://schemas.openxmlformats.org/officeDocument/2006/relationships" r:id="R3cb91b6ab9304dc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3" hidden="0" customWidth="1"/>
    <x:col min="3" max="3" width="22" hidden="0" customWidth="1"/>
    <x:col min="4" max="4" width="20" hidden="0" customWidth="1"/>
    <x:col min="5" max="5" width="14" hidden="0" customWidth="1"/>
    <x:col min="6" max="6" width="15" hidden="0" customWidth="1"/>
    <x:col min="7" max="7" width="14" hidden="0" customWidth="1"/>
    <x:col min="8" max="8" width="12" hidden="0" customWidth="1"/>
    <x:col min="9" max="9" width="14" hidden="0" customWidth="1"/>
    <x:col min="10" max="10" width="13" hidden="0" customWidth="1"/>
    <x:col min="11" max="11" width="16" hidden="0" customWidth="1"/>
    <x:col min="12" max="12" width="16" hidden="0" customWidth="1"/>
    <x:col min="13" max="13" width="16" hidden="0" customWidth="1"/>
    <x:col min="14" max="14" width="8" hidden="0" customWidth="1"/>
    <x:col min="15" max="15" width="15" hidden="0" customWidth="1"/>
    <x:col min="16" max="16" width="14" hidden="0" customWidth="1"/>
    <x:col min="17" max="17" width="11" hidden="0" customWidth="1"/>
    <x:col min="18" max="18" width="10" hidden="0" customWidth="1"/>
    <x:col min="19" max="19" width="10" hidden="0" customWidth="1"/>
    <x:col min="20" max="20" width="22" hidden="0" customWidth="1"/>
    <x:col min="21" max="21" width="12" hidden="0" customWidth="1"/>
    <x:col min="22" max="22" width="12" hidden="0" customWidth="1"/>
  </x:cols>
  <x:sheetData>
    <x:row r="1" ht="28" customHeight="1">
      <x:c r="A1" s="4" t="str">
        <x:v>취소중복_제외 실거래가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</x:row>
    <x:row r="2" ht="32" customHeight="1">
      <x:c r="A2" s="52" t="str">
        <x:v>취소 표기 또는 동일 거래 ID 중복으로 활성 거래·요약에서 제외한 원자료</x:v>
      </x:c>
      <x:c r="B2" s="52"/>
      <x:c r="C2" s="52"/>
      <x:c r="D2" s="52"/>
      <x:c r="E2" s="52"/>
      <x:c r="F2" s="52"/>
      <x:c r="G2" s="52"/>
      <x:c r="H2" s="52"/>
      <x:c r="I2" s="52"/>
      <x:c r="J2" s="52"/>
      <x:c r="K2" s="52"/>
      <x:c r="L2" s="52"/>
      <x:c r="M2" s="52"/>
      <x:c r="N2" s="52"/>
      <x:c r="O2" s="52"/>
      <x:c r="P2" s="52"/>
      <x:c r="Q2" s="52"/>
      <x:c r="R2" s="52"/>
      <x:c r="S2" s="52"/>
      <x:c r="T2" s="52"/>
      <x:c r="U2" s="52"/>
      <x:c r="V2" s="52"/>
    </x:row>
    <x:row r="4">
      <x:c r="A4" s="13" t="str">
        <x:v>순번</x:v>
      </x:c>
      <x:c r="B4" s="13" t="str">
        <x:v>계약일</x:v>
      </x:c>
      <x:c r="C4" s="13" t="str">
        <x:v>지번</x:v>
      </x:c>
      <x:c r="D4" s="13" t="str">
        <x:v>건물명</x:v>
      </x:c>
      <x:c r="E4" s="13" t="str">
        <x:v>건물 유형</x:v>
      </x:c>
      <x:c r="F4" s="13" t="str">
        <x:v>거래금액 (만원)</x:v>
      </x:c>
      <x:c r="G4" s="13" t="str">
        <x:v>거래금액 (억원)</x:v>
      </x:c>
      <x:c r="H4" s="13" t="str">
        <x:v>주택 유형</x:v>
      </x:c>
      <x:c r="I4" s="13" t="str">
        <x:v>대지지분 (㎡)</x:v>
      </x:c>
      <x:c r="J4" s="13" t="str">
        <x:v>대지지분 (평)</x:v>
      </x:c>
      <x:c r="K4" s="13" t="str">
        <x:v>대지평단가 (만원)</x:v>
      </x:c>
      <x:c r="L4" s="13" t="str">
        <x:v>전용/연면적 (㎡)</x:v>
      </x:c>
      <x:c r="M4" s="13" t="str">
        <x:v>전용평단가 (만원)</x:v>
      </x:c>
      <x:c r="N4" s="13" t="str">
        <x:v>층</x:v>
      </x:c>
      <x:c r="O4" s="13" t="str">
        <x:v>공시가격 (만원)</x:v>
      </x:c>
      <x:c r="P4" s="13" t="str">
        <x:v>공시가 초과율</x:v>
      </x:c>
      <x:c r="Q4" s="13" t="str">
        <x:v>신축연도</x:v>
      </x:c>
      <x:c r="R4" s="13" t="str">
        <x:v>지하 여부</x:v>
      </x:c>
      <x:c r="S4" s="13" t="str">
        <x:v>직거래</x:v>
      </x:c>
      <x:c r="T4" s="13" t="str">
        <x:v>중개 소재지</x:v>
      </x:c>
      <x:c r="U4" s="13" t="str">
        <x:v>거래 ID</x:v>
      </x:c>
      <x:c r="V4" s="13" t="str">
        <x:v>상태</x:v>
      </x:c>
    </x:row>
    <x:row r="5">
      <x:c r="A5" s="55" t="n">
        <x:v>1</x:v>
      </x:c>
      <x:c r="B5" s="56" t="n">
        <x:v>46210</x:v>
      </x:c>
      <x:c r="C5" s="61" t="str">
        <x:v>서계동 246-4</x:v>
      </x:c>
      <x:c r="D5" s="61" t="str">
        <x:v>(246-4)</x:v>
      </x:c>
      <x:c r="E5" s="55" t="str">
        <x:v>다세대주택</x:v>
      </x:c>
      <x:c r="F5" s="57" t="n">
        <x:v>42000</x:v>
      </x:c>
      <x:c r="G5" s="58" t="n">
        <x:f>IFERROR(F5/10000,"")</x:f>
        <x:v>4.2</x:v>
      </x:c>
      <x:c r="H5" s="55" t="str">
        <x:v>다세대</x:v>
      </x:c>
      <x:c r="I5" s="59" t="n">
        <x:v>14.143</x:v>
      </x:c>
      <x:c r="J5" s="59" t="n">
        <x:f>IFERROR(I5/3.3058,"")</x:f>
        <x:v>4.278238247927884</x:v>
      </x:c>
      <x:c r="K5" s="57" t="n">
        <x:f>IFERROR(F5/J5,"")</x:f>
        <x:v>9817.12507954465</x:v>
      </x:c>
      <x:c r="L5" s="59" t="n">
        <x:v>37.08</x:v>
      </x:c>
      <x:c r="M5" s="57" t="n">
        <x:f>IFERROR(F5/(L5/3.3),"")</x:f>
        <x:v>3737.864077669903</x:v>
      </x:c>
      <x:c r="N5" s="55" t="str">
        <x:v>3</x:v>
      </x:c>
      <x:c r="O5" s="57" t="n">
        <x:v>23800</x:v>
      </x:c>
      <x:c r="P5" s="60" t="n">
        <x:f>IFERROR(F5/O5-1,"")</x:f>
        <x:v>0.7647058823529411</x:v>
      </x:c>
      <x:c r="Q5" s="55" t="n">
        <x:v>1997</x:v>
      </x:c>
      <x:c r="R5" s="55" t="str">
        <x:v>비지하</x:v>
      </x:c>
      <x:c r="S5" s="55" t="str">
        <x:v>직거래</x:v>
      </x:c>
      <x:c r="T5" s="55" t="str"/>
      <x:c r="U5" s="55" t="n">
        <x:v>30156275</x:v>
      </x:c>
      <x:c r="V5" s="55" t="str">
        <x:v>제외</x:v>
      </x:c>
    </x:row>
    <x:row r="6">
      <x:c r="A6" s="55" t="n">
        <x:v>2</x:v>
      </x:c>
      <x:c r="B6" s="56" t="n">
        <x:v>46015</x:v>
      </x:c>
      <x:c r="C6" s="61" t="str">
        <x:v>서계동 246-42</x:v>
      </x:c>
      <x:c r="D6" s="61" t="str">
        <x:v>청운빌라</x:v>
      </x:c>
      <x:c r="E6" s="55" t="str">
        <x:v>다세대주택</x:v>
      </x:c>
      <x:c r="F6" s="57" t="n">
        <x:v>64500</x:v>
      </x:c>
      <x:c r="G6" s="58" t="n">
        <x:f>IFERROR(F6/10000,"")</x:f>
        <x:v>6.45</x:v>
      </x:c>
      <x:c r="H6" s="55" t="str">
        <x:v>다세대</x:v>
      </x:c>
      <x:c r="I6" s="59" t="n">
        <x:v>18.45</x:v>
      </x:c>
      <x:c r="J6" s="59" t="n">
        <x:f>IFERROR(I6/3.3058,"")</x:f>
        <x:v>5.581099885050517</x:v>
      </x:c>
      <x:c r="K6" s="57" t="n">
        <x:f>IFERROR(F6/J6,"")</x:f>
        <x:v>11556.861788617885</x:v>
      </x:c>
      <x:c r="L6" s="59" t="n">
        <x:v>57.02</x:v>
      </x:c>
      <x:c r="M6" s="57" t="n">
        <x:f>IFERROR(F6/(L6/3.3),"")</x:f>
        <x:v>3732.900736583654</x:v>
      </x:c>
      <x:c r="N6" s="55" t="str">
        <x:v>-1</x:v>
      </x:c>
      <x:c r="O6" s="57" t="n">
        <x:v>27600</x:v>
      </x:c>
      <x:c r="P6" s="60" t="n">
        <x:f>IFERROR(F6/O6-1,"")</x:f>
        <x:v>1.3369565217391304</x:v>
      </x:c>
      <x:c r="Q6" s="55" t="n">
        <x:v>2001</x:v>
      </x:c>
      <x:c r="R6" s="55" t="str">
        <x:v>지하</x:v>
      </x:c>
      <x:c r="S6" s="55" t="str">
        <x:v>중개거래</x:v>
      </x:c>
      <x:c r="T6" s="55" t="str">
        <x:v>서울 용산구</x:v>
      </x:c>
      <x:c r="U6" s="55" t="n">
        <x:v>25530760</x:v>
      </x:c>
      <x:c r="V6" s="55" t="str">
        <x:v>제외</x:v>
      </x:c>
    </x:row>
    <x:row r="7">
      <x:c r="A7" s="55" t="n">
        <x:v>3</x:v>
      </x:c>
      <x:c r="B7" s="56" t="n">
        <x:v>45943</x:v>
      </x:c>
      <x:c r="C7" s="61" t="str">
        <x:v>서계동 251-11</x:v>
      </x:c>
      <x:c r="D7" s="61" t="str">
        <x:v>(251-11)</x:v>
      </x:c>
      <x:c r="E7" s="55" t="str">
        <x:v>다세대주택</x:v>
      </x:c>
      <x:c r="F7" s="57" t="n">
        <x:v>35000</x:v>
      </x:c>
      <x:c r="G7" s="58" t="n">
        <x:f>IFERROR(F7/10000,"")</x:f>
        <x:v>3.5</x:v>
      </x:c>
      <x:c r="H7" s="55" t="str">
        <x:v>다세대</x:v>
      </x:c>
      <x:c r="I7" s="59" t="n">
        <x:v>17</x:v>
      </x:c>
      <x:c r="J7" s="59" t="n">
        <x:f>IFERROR(I7/3.3058,"")</x:f>
        <x:v>5.142476858854135</x:v>
      </x:c>
      <x:c r="K7" s="57" t="n">
        <x:f>IFERROR(F7/J7,"")</x:f>
        <x:v>6806.058823529413</x:v>
      </x:c>
      <x:c r="L7" s="59" t="n">
        <x:v>32.86</x:v>
      </x:c>
      <x:c r="M7" s="57" t="n">
        <x:f>IFERROR(F7/(L7/3.3),"")</x:f>
        <x:v>3514.9117468046256</x:v>
      </x:c>
      <x:c r="N7" s="55" t="str">
        <x:v>1</x:v>
      </x:c>
      <x:c r="O7" s="57" t="n">
        <x:v>29000</x:v>
      </x:c>
      <x:c r="P7" s="60" t="n">
        <x:f>IFERROR(F7/O7-1,"")</x:f>
        <x:v>0.2068965517241379</x:v>
      </x:c>
      <x:c r="Q7" s="55" t="n">
        <x:v>1996</x:v>
      </x:c>
      <x:c r="R7" s="55" t="str">
        <x:v>비지하</x:v>
      </x:c>
      <x:c r="S7" s="55" t="str">
        <x:v>중개거래</x:v>
      </x:c>
      <x:c r="T7" s="55" t="str">
        <x:v>서울 용산구</x:v>
      </x:c>
      <x:c r="U7" s="55" t="n">
        <x:v>8516679</x:v>
      </x:c>
      <x:c r="V7" s="55" t="str">
        <x:v>제외</x:v>
      </x:c>
    </x:row>
    <x:row r="8">
      <x:c r="A8" s="55" t="n">
        <x:v>4</x:v>
      </x:c>
      <x:c r="B8" s="56" t="n">
        <x:v>45854</x:v>
      </x:c>
      <x:c r="C8" s="61" t="str">
        <x:v>청파동1가 1-16</x:v>
      </x:c>
      <x:c r="D8" s="61" t="str">
        <x:v>가보주택</x:v>
      </x:c>
      <x:c r="E8" s="55" t="str">
        <x:v>다세대주택</x:v>
      </x:c>
      <x:c r="F8" s="57" t="n">
        <x:v>52500</x:v>
      </x:c>
      <x:c r="G8" s="58" t="n">
        <x:f>IFERROR(F8/10000,"")</x:f>
        <x:v>5.25</x:v>
      </x:c>
      <x:c r="H8" s="55" t="str">
        <x:v>다세대</x:v>
      </x:c>
      <x:c r="I8" s="59" t="n">
        <x:v>15.873</x:v>
      </x:c>
      <x:c r="J8" s="59" t="n">
        <x:f>IFERROR(I8/3.3058,"")</x:f>
        <x:v>4.801560892975981</x:v>
      </x:c>
      <x:c r="K8" s="57" t="n">
        <x:f>IFERROR(F8/J8,"")</x:f>
        <x:v>10933.944433944434</x:v>
      </x:c>
      <x:c r="L8" s="59" t="n">
        <x:v>31.36</x:v>
      </x:c>
      <x:c r="M8" s="57" t="n">
        <x:f>IFERROR(F8/(L8/3.3),"")</x:f>
        <x:v>5524.553571428571</x:v>
      </x:c>
      <x:c r="N8" s="55" t="str">
        <x:v>3</x:v>
      </x:c>
      <x:c r="O8" s="57" t="n">
        <x:v>24900</x:v>
      </x:c>
      <x:c r="P8" s="60" t="n">
        <x:f>IFERROR(F8/O8-1,"")</x:f>
        <x:v>1.108433734939759</x:v>
      </x:c>
      <x:c r="Q8" s="55" t="n">
        <x:v>1997</x:v>
      </x:c>
      <x:c r="R8" s="55" t="str">
        <x:v>비지하</x:v>
      </x:c>
      <x:c r="S8" s="55" t="str">
        <x:v>중개거래</x:v>
      </x:c>
      <x:c r="T8" s="55" t="str">
        <x:v>서울 용산구</x:v>
      </x:c>
      <x:c r="U8" s="55" t="n">
        <x:v>8516319</x:v>
      </x:c>
      <x:c r="V8" s="55" t="str">
        <x:v>제외</x:v>
      </x:c>
    </x:row>
    <x:row r="9">
      <x:c r="A9" s="55" t="n">
        <x:v>5</x:v>
      </x:c>
      <x:c r="B9" s="56" t="n">
        <x:v>46198</x:v>
      </x:c>
      <x:c r="C9" s="61" t="str">
        <x:v>청파동1가 3-2</x:v>
      </x:c>
      <x:c r="D9" s="61" t="str">
        <x:v>차세대빌라트</x:v>
      </x:c>
      <x:c r="E9" s="55" t="str">
        <x:v>다세대주택</x:v>
      </x:c>
      <x:c r="F9" s="57" t="n">
        <x:v>97000</x:v>
      </x:c>
      <x:c r="G9" s="58" t="n">
        <x:f>IFERROR(F9/10000,"")</x:f>
        <x:v>9.7</x:v>
      </x:c>
      <x:c r="H9" s="55" t="str">
        <x:v>연립</x:v>
      </x:c>
      <x:c r="I9" s="59" t="n">
        <x:v>33.12</x:v>
      </x:c>
      <x:c r="J9" s="59" t="n">
        <x:f>IFERROR(I9/3.3058,"")</x:f>
        <x:v>10.018754915602878</x:v>
      </x:c>
      <x:c r="K9" s="57" t="n">
        <x:f>IFERROR(F9/J9,"")</x:f>
        <x:v>9681.841787439615</x:v>
      </x:c>
      <x:c r="L9" s="59" t="n">
        <x:v>54.5</x:v>
      </x:c>
      <x:c r="M9" s="57" t="n">
        <x:f>IFERROR(F9/(L9/3.3),"")</x:f>
        <x:v>5873.394495412844</x:v>
      </x:c>
      <x:c r="N9" s="55" t="str">
        <x:v>3</x:v>
      </x:c>
      <x:c r="O9" s="57" t="n">
        <x:v>42000</x:v>
      </x:c>
      <x:c r="P9" s="60" t="n">
        <x:f>IFERROR(F9/O9-1,"")</x:f>
        <x:v>1.3095238095238093</x:v>
      </x:c>
      <x:c r="Q9" s="55" t="n">
        <x:v>1998</x:v>
      </x:c>
      <x:c r="R9" s="55" t="str">
        <x:v>비지하</x:v>
      </x:c>
      <x:c r="S9" s="55" t="str">
        <x:v>중개거래</x:v>
      </x:c>
      <x:c r="T9" s="55" t="str">
        <x:v>서울 용산구</x:v>
      </x:c>
      <x:c r="U9" s="55" t="n">
        <x:v>30038575</x:v>
      </x:c>
      <x:c r="V9" s="55" t="str">
        <x:v>제외</x:v>
      </x:c>
    </x:row>
    <x:row r="10">
      <x:c r="A10" s="55" t="n">
        <x:v>6</x:v>
      </x:c>
      <x:c r="B10" s="56" t="n">
        <x:v>46126</x:v>
      </x:c>
      <x:c r="C10" s="61" t="str">
        <x:v>청파동1가 3-69</x:v>
      </x:c>
      <x:c r="D10" s="61" t="str">
        <x:v>시티파크빌</x:v>
      </x:c>
      <x:c r="E10" s="55" t="str">
        <x:v>다세대주택</x:v>
      </x:c>
      <x:c r="F10" s="57" t="n">
        <x:v>67400</x:v>
      </x:c>
      <x:c r="G10" s="58" t="n">
        <x:f>IFERROR(F10/10000,"")</x:f>
        <x:v>6.74</x:v>
      </x:c>
      <x:c r="H10" s="55" t="str">
        <x:v>연립</x:v>
      </x:c>
      <x:c r="I10" s="59" t="n">
        <x:v>62.05</x:v>
      </x:c>
      <x:c r="J10" s="59" t="n">
        <x:f>IFERROR(I10/3.3058,"")</x:f>
        <x:v>18.770040534817593</x:v>
      </x:c>
      <x:c r="K10" s="57" t="n">
        <x:f>IFERROR(F10/J10,"")</x:f>
        <x:v>3590.8286865431105</x:v>
      </x:c>
      <x:c r="L10" s="59" t="n">
        <x:v>80.06</x:v>
      </x:c>
      <x:c r="M10" s="57" t="n">
        <x:f>IFERROR(F10/(L10/3.3),"")</x:f>
        <x:v>2778.166375218586</x:v>
      </x:c>
      <x:c r="N10" s="55" t="str">
        <x:v>4</x:v>
      </x:c>
      <x:c r="O10" s="57" t="n">
        <x:v>67700</x:v>
      </x:c>
      <x:c r="P10" s="60" t="n">
        <x:f>IFERROR(F10/O10-1,"")</x:f>
        <x:v>-0.004431314623338234</x:v>
      </x:c>
      <x:c r="Q10" s="55" t="n">
        <x:v>2004</x:v>
      </x:c>
      <x:c r="R10" s="55" t="str">
        <x:v>비지하</x:v>
      </x:c>
      <x:c r="S10" s="55" t="str">
        <x:v>직거래</x:v>
      </x:c>
      <x:c r="T10" s="55" t="str"/>
      <x:c r="U10" s="55" t="n">
        <x:v>24959360</x:v>
      </x:c>
      <x:c r="V10" s="55" t="str">
        <x:v>제외</x:v>
      </x:c>
    </x:row>
    <x:row r="11">
      <x:c r="A11" s="55" t="n">
        <x:v>7</x:v>
      </x:c>
      <x:c r="B11" s="56" t="n">
        <x:v>46099</x:v>
      </x:c>
      <x:c r="C11" s="61" t="str">
        <x:v>청파동1가 1-65</x:v>
      </x:c>
      <x:c r="D11" s="61" t="str">
        <x:v>(1-65)</x:v>
      </x:c>
      <x:c r="E11" s="55" t="str">
        <x:v>다세대주택</x:v>
      </x:c>
      <x:c r="F11" s="57" t="n">
        <x:v>86000</x:v>
      </x:c>
      <x:c r="G11" s="58" t="n">
        <x:f>IFERROR(F11/10000,"")</x:f>
        <x:v>8.6</x:v>
      </x:c>
      <x:c r="H11" s="55" t="str">
        <x:v>다세대</x:v>
      </x:c>
      <x:c r="I11" s="59" t="n">
        <x:v>28.1</x:v>
      </x:c>
      <x:c r="J11" s="59" t="n">
        <x:f>IFERROR(I11/3.3058,"")</x:f>
        <x:v>8.50021174904713</x:v>
      </x:c>
      <x:c r="K11" s="57" t="n">
        <x:f>IFERROR(F11/J11,"")</x:f>
        <x:v>10117.395017793593</x:v>
      </x:c>
      <x:c r="L11" s="59" t="n">
        <x:v>50.86</x:v>
      </x:c>
      <x:c r="M11" s="57" t="n">
        <x:f>IFERROR(F11/(L11/3.3),"")</x:f>
        <x:v>5580.023594180102</x:v>
      </x:c>
      <x:c r="N11" s="55" t="str">
        <x:v>2</x:v>
      </x:c>
      <x:c r="O11" s="57" t="n">
        <x:v>50500</x:v>
      </x:c>
      <x:c r="P11" s="60" t="n">
        <x:f>IFERROR(F11/O11-1,"")</x:f>
        <x:v>0.7029702970297029</x:v>
      </x:c>
      <x:c r="Q11" s="55" t="n">
        <x:v>2009</x:v>
      </x:c>
      <x:c r="R11" s="55" t="str">
        <x:v>비지하</x:v>
      </x:c>
      <x:c r="S11" s="55" t="str">
        <x:v>중개거래</x:v>
      </x:c>
      <x:c r="T11" s="55" t="str"/>
      <x:c r="U11" s="55" t="n">
        <x:v>25444610</x:v>
      </x:c>
      <x:c r="V11" s="55" t="str">
        <x:v>제외</x:v>
      </x:c>
    </x:row>
    <x:row r="12">
      <x:c r="A12" s="55" t="n">
        <x:v>8</x:v>
      </x:c>
      <x:c r="B12" s="56" t="n">
        <x:v>46039</x:v>
      </x:c>
      <x:c r="C12" s="61" t="str">
        <x:v>청파동1가 89-31</x:v>
      </x:c>
      <x:c r="D12" s="61" t="str">
        <x:v>프라임빌(89-31)</x:v>
      </x:c>
      <x:c r="E12" s="55" t="str">
        <x:v>다세대주택</x:v>
      </x:c>
      <x:c r="F12" s="57" t="n">
        <x:v>87000</x:v>
      </x:c>
      <x:c r="G12" s="58" t="n">
        <x:f>IFERROR(F12/10000,"")</x:f>
        <x:v>8.7</x:v>
      </x:c>
      <x:c r="H12" s="55" t="str">
        <x:v>다세대</x:v>
      </x:c>
      <x:c r="I12" s="59" t="n">
        <x:v>33.06</x:v>
      </x:c>
      <x:c r="J12" s="59" t="n">
        <x:f>IFERROR(I12/3.3058,"")</x:f>
        <x:v>10.000604997277513</x:v>
      </x:c>
      <x:c r="K12" s="57" t="n">
        <x:f>IFERROR(F12/J12,"")</x:f>
        <x:v>8699.473684210525</x:v>
      </x:c>
      <x:c r="L12" s="59" t="n">
        <x:v>50.67</x:v>
      </x:c>
      <x:c r="M12" s="57" t="n">
        <x:f>IFERROR(F12/(L12/3.3),"")</x:f>
        <x:v>5666.074600355239</x:v>
      </x:c>
      <x:c r="N12" s="55" t="str">
        <x:v>1</x:v>
      </x:c>
      <x:c r="O12" s="57" t="n">
        <x:v>46100</x:v>
      </x:c>
      <x:c r="P12" s="60" t="n">
        <x:f>IFERROR(F12/O12-1,"")</x:f>
        <x:v>0.8872017353579176</x:v>
      </x:c>
      <x:c r="Q12" s="55" t="n">
        <x:v>2008</x:v>
      </x:c>
      <x:c r="R12" s="55" t="str">
        <x:v>비지하</x:v>
      </x:c>
      <x:c r="S12" s="55" t="str">
        <x:v>중개거래</x:v>
      </x:c>
      <x:c r="T12" s="55" t="str">
        <x:v>서울 용산구</x:v>
      </x:c>
      <x:c r="U12" s="55" t="n">
        <x:v>25523942</x:v>
      </x:c>
      <x:c r="V12" s="55" t="str">
        <x:v>제외</x:v>
      </x:c>
    </x:row>
    <x:row r="13">
      <x:c r="A13" s="55" t="n">
        <x:v>9</x:v>
      </x:c>
      <x:c r="B13" s="56" t="n">
        <x:v>45961</x:v>
      </x:c>
      <x:c r="C13" s="61" t="str">
        <x:v>청파동1가 14-2</x:v>
      </x:c>
      <x:c r="D13" s="61" t="str">
        <x:v>(14-2)</x:v>
      </x:c>
      <x:c r="E13" s="55" t="str">
        <x:v>다세대주택</x:v>
      </x:c>
      <x:c r="F13" s="57" t="n">
        <x:v>103000</x:v>
      </x:c>
      <x:c r="G13" s="58" t="n">
        <x:f>IFERROR(F13/10000,"")</x:f>
        <x:v>10.3</x:v>
      </x:c>
      <x:c r="H13" s="55" t="str">
        <x:v>다세대</x:v>
      </x:c>
      <x:c r="I13" s="59" t="n">
        <x:v>56.02</x:v>
      </x:c>
      <x:c r="J13" s="59" t="n">
        <x:f>IFERROR(I13/3.3058,"")</x:f>
        <x:v>16.945973743118156</x:v>
      </x:c>
      <x:c r="K13" s="57" t="n">
        <x:f>IFERROR(F13/J13,"")</x:f>
        <x:v>6078.13995001785</x:v>
      </x:c>
      <x:c r="L13" s="59" t="n">
        <x:v>56.67</x:v>
      </x:c>
      <x:c r="M13" s="57" t="n">
        <x:f>IFERROR(F13/(L13/3.3),"")</x:f>
        <x:v>5997.882477501323</x:v>
      </x:c>
      <x:c r="N13" s="55" t="str">
        <x:v>3</x:v>
      </x:c>
      <x:c r="O13" s="57" t="n">
        <x:v>68100</x:v>
      </x:c>
      <x:c r="P13" s="60" t="n">
        <x:f>IFERROR(F13/O13-1,"")</x:f>
        <x:v>0.5124816446402349</x:v>
      </x:c>
      <x:c r="Q13" s="55" t="n">
        <x:v>2007</x:v>
      </x:c>
      <x:c r="R13" s="55" t="str">
        <x:v>비지하</x:v>
      </x:c>
      <x:c r="S13" s="55" t="str">
        <x:v>중개거래</x:v>
      </x:c>
      <x:c r="T13" s="55" t="str">
        <x:v>서울 용산구</x:v>
      </x:c>
      <x:c r="U13" s="55" t="n">
        <x:v>8516602</x:v>
      </x:c>
      <x:c r="V13" s="55" t="str">
        <x:v>제외</x:v>
      </x:c>
    </x:row>
  </x:sheetData>
  <x:mergeCells>
    <x:mergeCell ref="A1:V1"/>
    <x:mergeCell ref="A2:V2"/>
  </x:mergeCells>
  <x:pageMargins left="0.7" right="0.7" top="0.75" bottom="0.75" header="0.3" footer="0.3"/>
  <x:tableParts count="1">
    <x:tablePart xmlns:r="http://schemas.openxmlformats.org/officeDocument/2006/relationships" r:id="R81008a27de774e9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38" hidden="0" customWidth="1"/>
    <x:col min="3" max="3" width="62" hidden="0" customWidth="1"/>
    <x:col min="4" max="4" width="28" hidden="0" customWidth="1"/>
  </x:cols>
  <x:sheetData>
    <x:row r="1">
      <x:c r="A1" s="4" t="str">
        <x:v>출처·집계 기준</x:v>
      </x:c>
      <x:c r="B1" s="4"/>
      <x:c r="C1" s="4"/>
      <x:c r="D1" s="4"/>
    </x:row>
    <x:row r="3">
      <x:c r="A3" s="13" t="str">
        <x:v>항목</x:v>
      </x:c>
      <x:c r="B3" s="13" t="str">
        <x:v>내용</x:v>
      </x:c>
      <x:c r="C3" s="13" t="str">
        <x:v>URL</x:v>
      </x:c>
      <x:c r="D3" s="13" t="str">
        <x:v>비고</x:v>
      </x:c>
    </x:row>
    <x:row r="4">
      <x:c r="A4" s="63" t="str">
        <x:v>기준일</x:v>
      </x:c>
      <x:c r="B4" s="63" t="str">
        <x:v>2026-09-02</x:v>
      </x:c>
      <x:c r="C4" s="63" t="str"/>
      <x:c r="D4" s="63" t="str">
        <x:v>거래 계약일은 2026-08-31까지</x:v>
      </x:c>
    </x:row>
    <x:row r="5">
      <x:c r="A5" s="63" t="str">
        <x:v>거래 기간</x:v>
      </x:c>
      <x:c r="B5" s="63" t="str">
        <x:v>2024-09-01~2026-08-31</x:v>
      </x:c>
      <x:c r="C5" s="63" t="str"/>
      <x:c r="D5" s="63" t="str">
        <x:v>계약일 기준</x:v>
      </x:c>
    </x:row>
    <x:row r="6">
      <x:c r="A6" s="63" t="str">
        <x:v>서계 통합 공개 거래 목록</x:v>
      </x:c>
      <x:c r="B6" s="63" t="str">
        <x:v>구역 경계 기반 공개 거래 목록</x:v>
      </x:c>
      <x:c r="C6" s="63" t="str">
        <x:v>https://jaegebal.co.kr/develops/1531</x:v>
      </x:c>
      <x:c r="D6" s="63" t="str">
        <x:v>원 수집 127건, 활성 123건</x:v>
      </x:c>
    </x:row>
    <x:row r="7">
      <x:c r="A7" s="63" t="str">
        <x:v>청파2 공개 거래 목록</x:v>
      </x:c>
      <x:c r="B7" s="63" t="str">
        <x:v>구역 경계 기반 공개 거래 목록</x:v>
      </x:c>
      <x:c r="C7" s="63" t="str">
        <x:v>https://jaegebal.co.kr/develops/2613</x:v>
      </x:c>
      <x:c r="D7" s="63" t="str">
        <x:v>원 수집 84건, 활성 79건</x:v>
      </x:c>
    </x:row>
    <x:row r="8">
      <x:c r="A8" s="63" t="str">
        <x:v>거래 원자료 재확인</x:v>
      </x:c>
      <x:c r="B8" s="63" t="str">
        <x:v>서울부동산정보광장 거래정보 자료제공</x:v>
      </x:c>
      <x:c r="C8" s="63" t="str">
        <x:v>https://land.seoul.go.kr/land/rtms/transactionInfo.do</x:v>
      </x:c>
      <x:c r="D8" s="63" t="str">
        <x:v>국토교통부 신고자료 기반</x:v>
      </x:c>
    </x:row>
    <x:row r="9">
      <x:c r="A9" s="63" t="str">
        <x:v>비교표본 정의</x:v>
      </x:c>
      <x:c r="B9" s="63" t="str">
        <x:v>다세대주택, 비지하, 대지지분 15~50㎡</x:v>
      </x:c>
      <x:c r="C9" s="63" t="str"/>
      <x:c r="D9" s="63" t="str">
        <x:v>유형·지분 차이 완화 목적</x:v>
      </x:c>
    </x:row>
    <x:row r="10">
      <x:c r="A10" s="63" t="str">
        <x:v>제외 기준</x:v>
      </x:c>
      <x:c r="B10" s="63" t="str">
        <x:v>취소 표기 및 동일 거래 ID 중복</x:v>
      </x:c>
      <x:c r="C10" s="63" t="str"/>
      <x:c r="D10" s="63" t="str">
        <x:v>취소·중복 제외 시트 9건</x:v>
      </x:c>
    </x:row>
  </x:sheetData>
  <x:mergeCells>
    <x:mergeCell ref="A1:D1"/>
  </x:mergeCells>
  <x:pageMargins left="0.7" right="0.7" top="0.75" bottom="0.75" header="0.3" footer="0.3"/>
</x:worksheet>
</file>